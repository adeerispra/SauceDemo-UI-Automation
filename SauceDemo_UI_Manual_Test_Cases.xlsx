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Coverage Matrix" sheetId="2" state="visible" r:id="rId4"/>
    <sheet name="Testing Progres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<sst xmlns="http://schemas.openxmlformats.org/spreadsheetml/2006/main" count="2279" uniqueCount="812">
  <si>
    <t xml:space="preserve">Test Case ID</t>
  </si>
  <si>
    <t xml:space="preserve">Module</t>
  </si>
  <si>
    <t xml:space="preserve">Sub Feature</t>
  </si>
  <si>
    <t xml:space="preserve">Scenario Type</t>
  </si>
  <si>
    <t xml:space="preserve">Priority</t>
  </si>
  <si>
    <t xml:space="preserve">Severity</t>
  </si>
  <si>
    <t xml:space="preserve">Tags</t>
  </si>
  <si>
    <t xml:space="preserve">Title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</si>
  <si>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</si>
  <si>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</si>
  <si>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</si>
  <si>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</si>
  <si>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Execution Status</t>
  </si>
  <si>
    <t xml:space="preserve">Actual Result</t>
  </si>
  <si>
    <t xml:space="preserve">Defect ID</t>
  </si>
  <si>
    <t xml:space="preserve">Automation Candidate</t>
  </si>
  <si>
    <t xml:space="preserve">Automation Priority</t>
  </si>
  <si>
    <t xml:space="preserve">Notes</t>
  </si>
  <si>
    <t xml:space="preserve">SD-UI-TC-001</t>
  </si>
  <si>
    <t xml:space="preserve">Login</t>
  </si>
  <si>
    <t xml:space="preserve">Authentication</t>
  </si>
  <si>
    <t xml:space="preserve">Positive</t>
  </si>
  <si>
    <t xml:space="preserve">Critical</t>
  </si>
  <si>
    <t xml:space="preserve">High</t>
  </si>
  <si>
    <t xml:space="preserve">@smoke @regression @login</t>
  </si>
  <si>
    <t xml:space="preserve">Valid standard user can log in successfully</t>
  </si>
  <si>
    <t xml:space="preserve">1. Navigate to https://www.saucedemo.com/
2. Browser session is clean or app state has been reset
3. Use documented SauceDemo test credentials</t>
  </si>
  <si>
    <t xml:space="preserve">Username: standard_user
Password: secret_sauce</t>
  </si>
  <si>
    <t xml:space="preserve">1. Enter standard_user in Username
2. Enter secret_sauce in Password
3. Click Login</t>
  </si>
  <si>
    <t xml:space="preserve">1. User is redirected to /inventory.html
2. Products page title is displayed
3. Product cards are visible</t>
  </si>
  <si>
    <t xml:space="preserve">Pass</t>
  </si>
  <si>
    <t xml:space="preserve">Passed in Playwright regression run: 84/84 automated tests passed.</t>
  </si>
  <si>
    <t xml:space="preserve">Yes</t>
  </si>
  <si>
    <t xml:space="preserve">Automated in Playwright JavaScript using Page Object Model.</t>
  </si>
  <si>
    <t xml:space="preserve">SD-UI-TC-002</t>
  </si>
  <si>
    <t xml:space="preserve">Negative</t>
  </si>
  <si>
    <t xml:space="preserve">@sanity @regression @login @negative</t>
  </si>
  <si>
    <t xml:space="preserve">Locked out user cannot log in</t>
  </si>
  <si>
    <t xml:space="preserve">Username: locked_out_user
Password: secret_sauce</t>
  </si>
  <si>
    <t xml:space="preserve">1. Enter locked_out_user
2. Enter secret_sauce
3. Click Login</t>
  </si>
  <si>
    <t xml:space="preserve">1. Login fails
2. Error banner displays: Epic sadface: Sorry, this user has been locked out.
3. User remains on login page</t>
  </si>
  <si>
    <t xml:space="preserve">SD-UI-TC-003</t>
  </si>
  <si>
    <t xml:space="preserve">Validation</t>
  </si>
  <si>
    <t xml:space="preserve">Medium</t>
  </si>
  <si>
    <t xml:space="preserve">Login requires username when both fields are empty</t>
  </si>
  <si>
    <t xml:space="preserve">Username: blank
Password: blank</t>
  </si>
  <si>
    <t xml:space="preserve">1. Leave Username empty
2. Leave Password empty
3. Click Login</t>
  </si>
  <si>
    <t xml:space="preserve">1. Error banner displays: Epic sadface: Username is required
2. User remains on login page</t>
  </si>
  <si>
    <t xml:space="preserve">SD-UI-TC-004</t>
  </si>
  <si>
    <t xml:space="preserve">Login requires password when password is empty</t>
  </si>
  <si>
    <t xml:space="preserve">Username: standard_user
Password: blank</t>
  </si>
  <si>
    <t xml:space="preserve">1. Enter standard_user
2. Leave Password empty
3. Click Login</t>
  </si>
  <si>
    <t xml:space="preserve">1. Error banner displays required-password error or equivalent validation
2. User remains on login page</t>
  </si>
  <si>
    <t xml:space="preserve">SD-UI-TC-005</t>
  </si>
  <si>
    <t xml:space="preserve">@regression @login @negative</t>
  </si>
  <si>
    <t xml:space="preserve">Invalid username and valid password are rejected</t>
  </si>
  <si>
    <t xml:space="preserve">Username: invalid_user
Password: secret_sauce</t>
  </si>
  <si>
    <t xml:space="preserve">1. Enter invalid_user
2. Enter secret_sauce
3. Click Login</t>
  </si>
  <si>
    <t xml:space="preserve">1. Login fails
2. Error banner displays username/password mismatch message</t>
  </si>
  <si>
    <t xml:space="preserve">SD-UI-TC-006</t>
  </si>
  <si>
    <t xml:space="preserve">Valid username and invalid password are rejected</t>
  </si>
  <si>
    <t xml:space="preserve">Username: standard_user
Password: wrong_password</t>
  </si>
  <si>
    <t xml:space="preserve">1. Enter standard_user
2. Enter wrong_password
3. Click Login</t>
  </si>
  <si>
    <t xml:space="preserve">SD-UI-TC-007</t>
  </si>
  <si>
    <t xml:space="preserve">Edge Case</t>
  </si>
  <si>
    <t xml:space="preserve">Low</t>
  </si>
  <si>
    <t xml:space="preserve">@regression @login @edge</t>
  </si>
  <si>
    <t xml:space="preserve">Username with leading and trailing spaces is rejected</t>
  </si>
  <si>
    <t xml:space="preserve">Username:  standard_user 
Password: secret_sauce</t>
  </si>
  <si>
    <t xml:space="preserve">1. Enter username with leading and trailing spaces
2. Enter secret_sauce
3. Click Login</t>
  </si>
  <si>
    <t xml:space="preserve">1. Login result follows application behavior consistently
2. If rejected, mismatch error is displayed</t>
  </si>
  <si>
    <t xml:space="preserve">Untested</t>
  </si>
  <si>
    <t xml:space="preserve">Later</t>
  </si>
  <si>
    <t xml:space="preserve">SD-UI-TC-008</t>
  </si>
  <si>
    <t xml:space="preserve">Password value is case sensitive</t>
  </si>
  <si>
    <t xml:space="preserve">Username: standard_user
Password: Secret_Sauce</t>
  </si>
  <si>
    <t xml:space="preserve">1. Enter standard_user
2. Enter Secret_Sauce
3. Click Login</t>
  </si>
  <si>
    <t xml:space="preserve">1. Login fails
2. Mismatch error is displayed</t>
  </si>
  <si>
    <t xml:space="preserve">SD-UI-TC-009</t>
  </si>
  <si>
    <t xml:space="preserve">UI</t>
  </si>
  <si>
    <t xml:space="preserve">UI Validation</t>
  </si>
  <si>
    <t xml:space="preserve">@regression @login @ui</t>
  </si>
  <si>
    <t xml:space="preserve">Login page displays accepted username and password hints</t>
  </si>
  <si>
    <t xml:space="preserve">N/A</t>
  </si>
  <si>
    <t xml:space="preserve">1. Open login page
2. Review accepted usernames section
3. Review password hint section</t>
  </si>
  <si>
    <t xml:space="preserve">1. All documented usernames are displayed
2. Password hint displays secret_sauce</t>
  </si>
  <si>
    <t xml:space="preserve">No</t>
  </si>
  <si>
    <t xml:space="preserve">SD-UI-TC-010</t>
  </si>
  <si>
    <t xml:space="preserve">Login fields and button are visible and enabled</t>
  </si>
  <si>
    <t xml:space="preserve">1. Open login page
2. Inspect Username field
3. Inspect Password field
4. Inspect Login button</t>
  </si>
  <si>
    <t xml:space="preserve">1. Username field is visible
2. Password field is visible
3. Login button is visible and enabled</t>
  </si>
  <si>
    <t xml:space="preserve">SD-UI-TC-011</t>
  </si>
  <si>
    <t xml:space="preserve">Session</t>
  </si>
  <si>
    <t xml:space="preserve">@sanity @regression @login</t>
  </si>
  <si>
    <t xml:space="preserve">Authenticated user cannot stay on login page after successful login</t>
  </si>
  <si>
    <t xml:space="preserve">1. Log in as standard_user
2. Confirm inventory page is shown
3. Navigate browser back if applicable</t>
  </si>
  <si>
    <t xml:space="preserve">1. Application maintains a consistent authenticated state
2. Protected page access remains valid while session is active</t>
  </si>
  <si>
    <t xml:space="preserve">SD-UI-TC-012</t>
  </si>
  <si>
    <t xml:space="preserve">Refresh login page does not prefill sensitive password data</t>
  </si>
  <si>
    <t xml:space="preserve">1. Open login page
2. Enter credentials
3. Refresh before clicking Login</t>
  </si>
  <si>
    <t xml:space="preserve">1. Password field is not unexpectedly persisted
2. Page remains usable after refresh</t>
  </si>
  <si>
    <t xml:space="preserve">SD-UI-TC-013</t>
  </si>
  <si>
    <t xml:space="preserve">@regression @login @user</t>
  </si>
  <si>
    <t xml:space="preserve">problem_user can authenticate</t>
  </si>
  <si>
    <t xml:space="preserve">Username: problem_user
Password: secret_sauce</t>
  </si>
  <si>
    <t xml:space="preserve">1. Enter problem_user
2. Enter secret_sauce
3. Click Login</t>
  </si>
  <si>
    <t xml:space="preserve">1. User reaches inventory page
2. Products page loads with known problem_user behavior</t>
  </si>
  <si>
    <t xml:space="preserve">SD-UI-TC-014</t>
  </si>
  <si>
    <t xml:space="preserve">@regression @login @performance</t>
  </si>
  <si>
    <t xml:space="preserve">performance_glitch_user can authenticate with delayed response</t>
  </si>
  <si>
    <t xml:space="preserve">Username: performance_glitch_user
Password: secret_sauce</t>
  </si>
  <si>
    <t xml:space="preserve">1. Enter performance_glitch_user
2. Enter secret_sauce
3. Click Login
4. Wait for inventory page</t>
  </si>
  <si>
    <t xml:space="preserve">1. User reaches inventory page after intentional delay
2. Test documents observed delay</t>
  </si>
  <si>
    <t xml:space="preserve">SD-UI-TC-015</t>
  </si>
  <si>
    <t xml:space="preserve">error_user can authenticate</t>
  </si>
  <si>
    <t xml:space="preserve">Username: error_user
Password: secret_sauce</t>
  </si>
  <si>
    <t xml:space="preserve">1. Enter error_user
2. Enter secret_sauce
3. Click Login</t>
  </si>
  <si>
    <t xml:space="preserve">1. User reaches inventory page
2. Known error-user behavior can be tested</t>
  </si>
  <si>
    <t xml:space="preserve">SD-UI-TC-016</t>
  </si>
  <si>
    <t xml:space="preserve">@regression @login @visual</t>
  </si>
  <si>
    <t xml:space="preserve">visual_user can authenticate</t>
  </si>
  <si>
    <t xml:space="preserve">Username: visual_user
Password: secret_sauce</t>
  </si>
  <si>
    <t xml:space="preserve">1. Enter visual_user
2. Enter secret_sauce
3. Click Login</t>
  </si>
  <si>
    <t xml:space="preserve">1. User reaches inventory page
2. Known visual differences are observable</t>
  </si>
  <si>
    <t xml:space="preserve">SD-UI-TC-017</t>
  </si>
  <si>
    <t xml:space="preserve">Inventory / Product Listing</t>
  </si>
  <si>
    <t xml:space="preserve">Page Load</t>
  </si>
  <si>
    <t xml:space="preserve">@smoke @regression @inventory</t>
  </si>
  <si>
    <t xml:space="preserve">Inventory page loads after login</t>
  </si>
  <si>
    <t xml:space="preserve">1. User is logged in as standard_user
2. Cart state is empty before starting
3. User is on the expected starting page</t>
  </si>
  <si>
    <t xml:space="preserve">1. Log in as standard_user
2. Observe inventory page</t>
  </si>
  <si>
    <t xml:space="preserve">1. URL is /inventory.html
2. Products title is displayed
3. Product grid is visible</t>
  </si>
  <si>
    <t xml:space="preserve">SD-UI-TC-018</t>
  </si>
  <si>
    <t xml:space="preserve">Product Grid</t>
  </si>
  <si>
    <t xml:space="preserve">All six products are displayed</t>
  </si>
  <si>
    <t xml:space="preserve">Expected product count: 6</t>
  </si>
  <si>
    <t xml:space="preserve">1. Open inventory page
2. Count product cards</t>
  </si>
  <si>
    <t xml:space="preserve">1. Exactly six product cards are displayed
2. Each card has name, image, description, price, and add button</t>
  </si>
  <si>
    <t xml:space="preserve">SD-UI-TC-019</t>
  </si>
  <si>
    <t xml:space="preserve">Product Data</t>
  </si>
  <si>
    <t xml:space="preserve">@regression @inventory @catalog</t>
  </si>
  <si>
    <t xml:space="preserve">Inventory product names match catalog</t>
  </si>
  <si>
    <t xml:space="preserve">Six documented SauceDemo product names</t>
  </si>
  <si>
    <t xml:space="preserve">1. Open inventory page
2. Compare product names with catalog</t>
  </si>
  <si>
    <t xml:space="preserve">1. All six expected product names are present
2. No unexpected product names are shown</t>
  </si>
  <si>
    <t xml:space="preserve">SD-UI-TC-020</t>
  </si>
  <si>
    <t xml:space="preserve">Inventory product prices match catalog</t>
  </si>
  <si>
    <t xml:space="preserve">Expected prices: 29.99, 9.99, 15.99, 49.99, 7.99, 15.99</t>
  </si>
  <si>
    <t xml:space="preserve">1. Open inventory page
2. Compare displayed prices with catalog</t>
  </si>
  <si>
    <t xml:space="preserve">1. Every product price matches documented value
2. Prices display USD currency format</t>
  </si>
  <si>
    <t xml:space="preserve">SD-UI-TC-021</t>
  </si>
  <si>
    <t xml:space="preserve">Product Card</t>
  </si>
  <si>
    <t xml:space="preserve">@regression @inventory @ui</t>
  </si>
  <si>
    <t xml:space="preserve">Each product card displays required UI elements</t>
  </si>
  <si>
    <t xml:space="preserve">1. Open inventory page
2. Inspect each product card</t>
  </si>
  <si>
    <t xml:space="preserve">1. Image, name, description, price, and Add to Cart button are visible for each product</t>
  </si>
  <si>
    <t xml:space="preserve">SD-UI-TC-022</t>
  </si>
  <si>
    <t xml:space="preserve">Add to Cart</t>
  </si>
  <si>
    <t xml:space="preserve">@smoke @regression @cart @inventory</t>
  </si>
  <si>
    <t xml:space="preserve">Add one product from inventory</t>
  </si>
  <si>
    <t xml:space="preserve">Product: Sauce Labs Backpack</t>
  </si>
  <si>
    <t xml:space="preserve">1. Click Add to Cart for Sauce Labs Backpack</t>
  </si>
  <si>
    <t xml:space="preserve">1. Button changes to Remove
2. Cart badge displays 1</t>
  </si>
  <si>
    <t xml:space="preserve">SD-UI-TC-023</t>
  </si>
  <si>
    <t xml:space="preserve">@regression @cart @inventory</t>
  </si>
  <si>
    <t xml:space="preserve">Add multiple products from inventory</t>
  </si>
  <si>
    <t xml:space="preserve">Products: Backpack, Bike Light, Onesie</t>
  </si>
  <si>
    <t xml:space="preserve">1. Click Add to Cart for three products</t>
  </si>
  <si>
    <t xml:space="preserve">1. Each selected product button changes to Remove
2. Cart badge displays 3</t>
  </si>
  <si>
    <t xml:space="preserve">SD-UI-TC-024</t>
  </si>
  <si>
    <t xml:space="preserve">Remove</t>
  </si>
  <si>
    <t xml:space="preserve">@sanity @regression @cart @inventory</t>
  </si>
  <si>
    <t xml:space="preserve">Remove added product from inventory page</t>
  </si>
  <si>
    <t xml:space="preserve">1. Add Backpack
2. Click Remove for Backpack</t>
  </si>
  <si>
    <t xml:space="preserve">1. Button changes back to Add to Cart
2. Cart badge is cleared</t>
  </si>
  <si>
    <t xml:space="preserve">SD-UI-TC-025</t>
  </si>
  <si>
    <t xml:space="preserve">Badge</t>
  </si>
  <si>
    <t xml:space="preserve">@regression @cart @inventory @edge</t>
  </si>
  <si>
    <t xml:space="preserve">Cart badge updates correctly when adding and removing several items</t>
  </si>
  <si>
    <t xml:space="preserve">1. Add three products
2. Remove one product
3. Add another product</t>
  </si>
  <si>
    <t xml:space="preserve">1. Badge count equals current selected item count after every action</t>
  </si>
  <si>
    <t xml:space="preserve">SD-UI-TC-026</t>
  </si>
  <si>
    <t xml:space="preserve">Sorting</t>
  </si>
  <si>
    <t xml:space="preserve">@regression @inventory @sort</t>
  </si>
  <si>
    <t xml:space="preserve">Default sort order is Name A to Z</t>
  </si>
  <si>
    <t xml:space="preserve">Sort option: Name A to Z</t>
  </si>
  <si>
    <t xml:space="preserve">1. Open inventory page
2. Read product names top to bottom</t>
  </si>
  <si>
    <t xml:space="preserve">1. Products are ordered alphabetically A to Z by name</t>
  </si>
  <si>
    <t xml:space="preserve">SD-UI-TC-027</t>
  </si>
  <si>
    <t xml:space="preserve">Sort products by Name Z to A</t>
  </si>
  <si>
    <t xml:space="preserve">Sort option: Name Z to A</t>
  </si>
  <si>
    <t xml:space="preserve">1. Select Name Z to A from sort dropdown
2. Read product names top to bottom</t>
  </si>
  <si>
    <t xml:space="preserve">1. Products are ordered alphabetically Z to A</t>
  </si>
  <si>
    <t xml:space="preserve">SD-UI-TC-028</t>
  </si>
  <si>
    <t xml:space="preserve">Sort products by Price low to high</t>
  </si>
  <si>
    <t xml:space="preserve">Sort option: Price low to high</t>
  </si>
  <si>
    <t xml:space="preserve">1. Select Price low to high
2. Read product prices top to bottom</t>
  </si>
  <si>
    <t xml:space="preserve">1. Products are ordered from $7.99 to $49.99</t>
  </si>
  <si>
    <t xml:space="preserve">SD-UI-TC-029</t>
  </si>
  <si>
    <t xml:space="preserve">Sort products by Price high to low</t>
  </si>
  <si>
    <t xml:space="preserve">Sort option: Price high to low</t>
  </si>
  <si>
    <t xml:space="preserve">1. Select Price high to low
2. Read product prices top to bottom</t>
  </si>
  <si>
    <t xml:space="preserve">1. Products are ordered from $49.99 to $7.99</t>
  </si>
  <si>
    <t xml:space="preserve">SD-UI-TC-030</t>
  </si>
  <si>
    <t xml:space="preserve">@regression @inventory @sort @edge</t>
  </si>
  <si>
    <t xml:space="preserve">Sorting does not clear already selected cart items</t>
  </si>
  <si>
    <t xml:space="preserve">Product: Backpack; Sort: Price low to high</t>
  </si>
  <si>
    <t xml:space="preserve">1. Add Backpack to cart
2. Change sort order
3. Observe Backpack card and cart badge</t>
  </si>
  <si>
    <t xml:space="preserve">1. Backpack remains selected
2. Remove button remains visible for selected item
3. Cart badge remains 1</t>
  </si>
  <si>
    <t xml:space="preserve">SD-UI-TC-031</t>
  </si>
  <si>
    <t xml:space="preserve">Navigation</t>
  </si>
  <si>
    <t xml:space="preserve">@regression @inventory @product-detail</t>
  </si>
  <si>
    <t xml:space="preserve">Click product name opens product detail page</t>
  </si>
  <si>
    <t xml:space="preserve">1. Click Sauce Labs Backpack product name</t>
  </si>
  <si>
    <t xml:space="preserve">1. Product detail page opens
2. Displayed product is Sauce Labs Backpack</t>
  </si>
  <si>
    <t xml:space="preserve">SD-UI-TC-032</t>
  </si>
  <si>
    <t xml:space="preserve">Click product image opens product detail page</t>
  </si>
  <si>
    <t xml:space="preserve">Product: Sauce Labs Bike Light</t>
  </si>
  <si>
    <t xml:space="preserve">1. Click Sauce Labs Bike Light image</t>
  </si>
  <si>
    <t xml:space="preserve">1. Product detail page opens
2. Displayed product is Sauce Labs Bike Light</t>
  </si>
  <si>
    <t xml:space="preserve">SD-UI-TC-033</t>
  </si>
  <si>
    <t xml:space="preserve">Cart Navigation</t>
  </si>
  <si>
    <t xml:space="preserve">Cart icon opens shopping cart page</t>
  </si>
  <si>
    <t xml:space="preserve">1. Click cart icon from inventory page</t>
  </si>
  <si>
    <t xml:space="preserve">1. User is navigated to /cart.html
2. Your Cart title is displayed</t>
  </si>
  <si>
    <t xml:space="preserve">SD-UI-TC-034</t>
  </si>
  <si>
    <t xml:space="preserve">Access Control</t>
  </si>
  <si>
    <t xml:space="preserve">@regression @inventory @security @negative</t>
  </si>
  <si>
    <t xml:space="preserve">Unauthenticated user cannot directly access inventory page</t>
  </si>
  <si>
    <t xml:space="preserve">1. User is logged out
2. Browser session is clean</t>
  </si>
  <si>
    <t xml:space="preserve">URL: /inventory.html</t>
  </si>
  <si>
    <t xml:space="preserve">1. Open /inventory.html directly without login</t>
  </si>
  <si>
    <t xml:space="preserve">1. User is redirected to login page or blocked consistently
2. Protected content is not usable without authentication</t>
  </si>
  <si>
    <t xml:space="preserve">SD-UI-TC-035</t>
  </si>
  <si>
    <t xml:space="preserve">Product Detail</t>
  </si>
  <si>
    <t xml:space="preserve">@sanity @regression @product-detail</t>
  </si>
  <si>
    <t xml:space="preserve">Product detail page displays selected product information</t>
  </si>
  <si>
    <t xml:space="preserve">1. Open Backpack detail page from inventory
2. Inspect detail content</t>
  </si>
  <si>
    <t xml:space="preserve">1. Product name, description, image, and price match inventory card</t>
  </si>
  <si>
    <t xml:space="preserve">SD-UI-TC-036</t>
  </si>
  <si>
    <t xml:space="preserve">Back Navigation</t>
  </si>
  <si>
    <t xml:space="preserve">@regression @product-detail</t>
  </si>
  <si>
    <t xml:space="preserve">Back to Products returns to inventory page</t>
  </si>
  <si>
    <t xml:space="preserve">1. Open any product detail page
2. Click Back to Products</t>
  </si>
  <si>
    <t xml:space="preserve">1. User returns to /inventory.html
2. Products page title is displayed</t>
  </si>
  <si>
    <t xml:space="preserve">SD-UI-TC-037</t>
  </si>
  <si>
    <t xml:space="preserve">Cart</t>
  </si>
  <si>
    <t xml:space="preserve">@regression @product-detail @cart</t>
  </si>
  <si>
    <t xml:space="preserve">Add product to cart from detail page</t>
  </si>
  <si>
    <t xml:space="preserve">Product: Sauce Labs Fleece Jacket</t>
  </si>
  <si>
    <t xml:space="preserve">1. Open Fleece Jacket detail page
2. Click Add to Cart</t>
  </si>
  <si>
    <t xml:space="preserve">SD-UI-TC-038</t>
  </si>
  <si>
    <t xml:space="preserve">Remove product from cart from detail page</t>
  </si>
  <si>
    <t xml:space="preserve">1. Open Fleece Jacket detail page
2. Add product to cart
3. Click Remove</t>
  </si>
  <si>
    <t xml:space="preserve">1. Button changes to Add to Cart
2. Cart badge is cleared</t>
  </si>
  <si>
    <t xml:space="preserve">SD-UI-TC-039</t>
  </si>
  <si>
    <t xml:space="preserve">State</t>
  </si>
  <si>
    <t xml:space="preserve">@regression @product-detail @cart @edge</t>
  </si>
  <si>
    <t xml:space="preserve">Cart state is preserved between inventory and detail page</t>
  </si>
  <si>
    <t xml:space="preserve">1. Add Backpack from inventory
2. Open Backpack detail page</t>
  </si>
  <si>
    <t xml:space="preserve">1. Detail page shows Remove button
2. Cart badge remains 1</t>
  </si>
  <si>
    <t xml:space="preserve">SD-UI-TC-040</t>
  </si>
  <si>
    <t xml:space="preserve">@regression @product-detail @edge</t>
  </si>
  <si>
    <t xml:space="preserve">Back to Products preserves selected sort order</t>
  </si>
  <si>
    <t xml:space="preserve">Sort: Price low to high</t>
  </si>
  <si>
    <t xml:space="preserve">1. Apply Price low to high sort
2. Open product detail
3. Click Back to Products</t>
  </si>
  <si>
    <t xml:space="preserve">1. Inventory page remains sorted by Price low to high or behaves consistently per app design</t>
  </si>
  <si>
    <t xml:space="preserve">SD-UI-TC-041</t>
  </si>
  <si>
    <t xml:space="preserve">Direct URL</t>
  </si>
  <si>
    <t xml:space="preserve">Authenticated user can open valid product detail URL directly</t>
  </si>
  <si>
    <t xml:space="preserve">URL: /inventory-item.html?id=4</t>
  </si>
  <si>
    <t xml:space="preserve">1. Log in
2. Open valid product detail URL directly</t>
  </si>
  <si>
    <t xml:space="preserve">1. Detail page loads
2. Correct product data is displayed</t>
  </si>
  <si>
    <t xml:space="preserve">SD-UI-TC-042</t>
  </si>
  <si>
    <t xml:space="preserve">Invalid product detail id is handled consistently</t>
  </si>
  <si>
    <t xml:space="preserve">URL: /inventory-item.html?id=999</t>
  </si>
  <si>
    <t xml:space="preserve">1. Log in
2. Open invalid product detail URL</t>
  </si>
  <si>
    <t xml:space="preserve">1. Application handles invalid item id without a broken or confusing state
2. Document actual behavior</t>
  </si>
  <si>
    <t xml:space="preserve">SD-UI-TC-043</t>
  </si>
  <si>
    <t xml:space="preserve">@regression @product-detail @negative</t>
  </si>
  <si>
    <t xml:space="preserve">Unauthenticated user cannot directly access product detail page</t>
  </si>
  <si>
    <t xml:space="preserve">1. Open valid product detail URL without login</t>
  </si>
  <si>
    <t xml:space="preserve">1. User is redirected to login page or blocked consistently</t>
  </si>
  <si>
    <t xml:space="preserve">SD-UI-TC-044</t>
  </si>
  <si>
    <t xml:space="preserve">Cart icon opens cart from product detail page</t>
  </si>
  <si>
    <t xml:space="preserve">1. Open product detail page
2. Click cart icon</t>
  </si>
  <si>
    <t xml:space="preserve">1. User is navigated to /cart.html</t>
  </si>
  <si>
    <t xml:space="preserve">SD-UI-TC-045</t>
  </si>
  <si>
    <t xml:space="preserve">@smoke @regression @cart</t>
  </si>
  <si>
    <t xml:space="preserve">Cart page opens from cart icon</t>
  </si>
  <si>
    <t xml:space="preserve">1. Click cart icon</t>
  </si>
  <si>
    <t xml:space="preserve">1. Cart page opens
2. Your Cart title is displayed</t>
  </si>
  <si>
    <t xml:space="preserve">SD-UI-TC-046</t>
  </si>
  <si>
    <t xml:space="preserve">Empty Cart</t>
  </si>
  <si>
    <t xml:space="preserve">@sanity @regression @cart @edge</t>
  </si>
  <si>
    <t xml:space="preserve">Cart page handles empty cart state</t>
  </si>
  <si>
    <t xml:space="preserve">1. Reset app state
2. Open cart page</t>
  </si>
  <si>
    <t xml:space="preserve">1. Cart page loads without item rows
2. Continue Shopping and Checkout controls are handled consistently</t>
  </si>
  <si>
    <t xml:space="preserve">SD-UI-TC-047</t>
  </si>
  <si>
    <t xml:space="preserve">Item Details</t>
  </si>
  <si>
    <t xml:space="preserve">@regression @cart</t>
  </si>
  <si>
    <t xml:space="preserve">Single cart item shows name description price and quantity</t>
  </si>
  <si>
    <t xml:space="preserve">Product: Backpack</t>
  </si>
  <si>
    <t xml:space="preserve">1. Add Backpack from inventory
2. Open cart</t>
  </si>
  <si>
    <t xml:space="preserve">1. Quantity is 1
2. Name, description, and price match inventory</t>
  </si>
  <si>
    <t xml:space="preserve">SD-UI-TC-048</t>
  </si>
  <si>
    <t xml:space="preserve">Multiple cart items are listed separately</t>
  </si>
  <si>
    <t xml:space="preserve">1. Add three products
2. Open cart</t>
  </si>
  <si>
    <t xml:space="preserve">1. All selected products are listed
2. Each item shows quantity 1 and correct price</t>
  </si>
  <si>
    <t xml:space="preserve">SD-UI-TC-049</t>
  </si>
  <si>
    <t xml:space="preserve">@sanity @regression @cart</t>
  </si>
  <si>
    <t xml:space="preserve">Remove one item from cart</t>
  </si>
  <si>
    <t xml:space="preserve">Products: Backpack, Bike Light</t>
  </si>
  <si>
    <t xml:space="preserve">1. Add two products
2. Open cart
3. Remove Backpack</t>
  </si>
  <si>
    <t xml:space="preserve">1. Backpack is removed
2. Bike Light remains
3. Cart badge updates to 1</t>
  </si>
  <si>
    <t xml:space="preserve">SD-UI-TC-050</t>
  </si>
  <si>
    <t xml:space="preserve">@regression @cart @edge</t>
  </si>
  <si>
    <t xml:space="preserve">Remove all items from cart</t>
  </si>
  <si>
    <t xml:space="preserve">1. Add two products
2. Open cart
3. Remove all items</t>
  </si>
  <si>
    <t xml:space="preserve">1. No cart items remain
2. Cart badge is cleared</t>
  </si>
  <si>
    <t xml:space="preserve">SD-UI-TC-051</t>
  </si>
  <si>
    <t xml:space="preserve">Continue Shopping</t>
  </si>
  <si>
    <t xml:space="preserve">Continue Shopping returns to inventory without clearing cart</t>
  </si>
  <si>
    <t xml:space="preserve">1. Add Backpack
2. Open cart
3. Click Continue Shopping</t>
  </si>
  <si>
    <t xml:space="preserve">1. Inventory page opens
2. Backpack remains in cart
3. Cart badge remains 1</t>
  </si>
  <si>
    <t xml:space="preserve">SD-UI-TC-052</t>
  </si>
  <si>
    <t xml:space="preserve">Checkout Navigation</t>
  </si>
  <si>
    <t xml:space="preserve">@smoke @regression @cart @checkout</t>
  </si>
  <si>
    <t xml:space="preserve">Checkout button opens checkout information page</t>
  </si>
  <si>
    <t xml:space="preserve">1. Add Backpack
2. Open cart
3. Click Checkout</t>
  </si>
  <si>
    <t xml:space="preserve">1. Checkout: Your Information page opens
2. URL is /checkout-step-one.html</t>
  </si>
  <si>
    <t xml:space="preserve">SD-UI-TC-053</t>
  </si>
  <si>
    <t xml:space="preserve">Checkout from empty cart is handled consistently</t>
  </si>
  <si>
    <t xml:space="preserve">Cart: empty</t>
  </si>
  <si>
    <t xml:space="preserve">1. Reset app state
2. Open cart
3. Click Checkout</t>
  </si>
  <si>
    <t xml:space="preserve">1. Application behavior is consistent and documented
2. No browser error occurs</t>
  </si>
  <si>
    <t xml:space="preserve">SD-UI-TC-054</t>
  </si>
  <si>
    <t xml:space="preserve">Cart badge count matches number of cart lines</t>
  </si>
  <si>
    <t xml:space="preserve">1. Add three products
2. Open cart
3. Count cart rows and badge</t>
  </si>
  <si>
    <t xml:space="preserve">1. Cart row count equals badge count
2. Each item quantity is 1</t>
  </si>
  <si>
    <t xml:space="preserve">SD-UI-TC-055</t>
  </si>
  <si>
    <t xml:space="preserve">Cart state persists across page navigation</t>
  </si>
  <si>
    <t xml:space="preserve">1. Add Backpack
2. Navigate to detail page
3. Return to inventory
4. Open cart</t>
  </si>
  <si>
    <t xml:space="preserve">1. Backpack remains in cart
2. Badge remains accurate</t>
  </si>
  <si>
    <t xml:space="preserve">SD-UI-TC-056</t>
  </si>
  <si>
    <t xml:space="preserve">@regression @cart @navigation @edge</t>
  </si>
  <si>
    <t xml:space="preserve">Reset App State clears cart</t>
  </si>
  <si>
    <t xml:space="preserve">1. Add two products
2. Open menu
3. Click Reset App State
4. Open cart</t>
  </si>
  <si>
    <t xml:space="preserve">1. Cart is empty
2. Inventory buttons reset to Add to Cart
3. Badge is cleared</t>
  </si>
  <si>
    <t xml:space="preserve">SD-UI-TC-057</t>
  </si>
  <si>
    <t xml:space="preserve">Authenticated user can access cart URL directly</t>
  </si>
  <si>
    <t xml:space="preserve">URL: /cart.html</t>
  </si>
  <si>
    <t xml:space="preserve">1. Log in
2. Open /cart.html directly</t>
  </si>
  <si>
    <t xml:space="preserve">1. Cart page loads
2. User remains authenticated</t>
  </si>
  <si>
    <t xml:space="preserve">SD-UI-TC-058</t>
  </si>
  <si>
    <t xml:space="preserve">@regression @cart @negative</t>
  </si>
  <si>
    <t xml:space="preserve">Unauthenticated user cannot directly access cart page</t>
  </si>
  <si>
    <t xml:space="preserve">1. Open /cart.html without login</t>
  </si>
  <si>
    <t xml:space="preserve">SD-UI-TC-059</t>
  </si>
  <si>
    <t xml:space="preserve">Remove button disappears after item is removed</t>
  </si>
  <si>
    <t xml:space="preserve">1. Add Backpack
2. Open cart
3. Click Remove
4. Observe removed row</t>
  </si>
  <si>
    <t xml:space="preserve">1. Removed item row is no longer displayed
2. No duplicate remove control remains</t>
  </si>
  <si>
    <t xml:space="preserve">SD-UI-TC-060</t>
  </si>
  <si>
    <t xml:space="preserve">Item Data</t>
  </si>
  <si>
    <t xml:space="preserve">Cart item details match product detail page</t>
  </si>
  <si>
    <t xml:space="preserve">Product: Sauce Labs Bolt T-Shirt</t>
  </si>
  <si>
    <t xml:space="preserve">1. Open product detail and record data
2. Add item
3. Open cart</t>
  </si>
  <si>
    <t xml:space="preserve">1. Cart item name, description, and price match detail page</t>
  </si>
  <si>
    <t xml:space="preserve">SD-UI-TC-061</t>
  </si>
  <si>
    <t xml:space="preserve">Checkout Information</t>
  </si>
  <si>
    <t xml:space="preserve">@smoke @regression @checkout</t>
  </si>
  <si>
    <t xml:space="preserve">Checkout information page loads after cart checkout</t>
  </si>
  <si>
    <t xml:space="preserve">1. Checkout: Your Information title is displayed
2. First Name, Last Name, Postal Code fields are visible</t>
  </si>
  <si>
    <t xml:space="preserve">SD-UI-TC-062</t>
  </si>
  <si>
    <t xml:space="preserve">@sanity @regression @checkout @negative</t>
  </si>
  <si>
    <t xml:space="preserve">Checkout requires first name</t>
  </si>
  <si>
    <t xml:space="preserve">First Name: blank
Last Name: QA
Postal Code: 15117</t>
  </si>
  <si>
    <t xml:space="preserve">1. Add item and open checkout information page
2. Leave First Name blank
3. Fill Last Name and Postal Code
4. Click Continue</t>
  </si>
  <si>
    <t xml:space="preserve">1. Error: First Name is required is displayed
2. User remains on checkout information page</t>
  </si>
  <si>
    <t xml:space="preserve">SD-UI-TC-063</t>
  </si>
  <si>
    <t xml:space="preserve">Checkout requires last name</t>
  </si>
  <si>
    <t xml:space="preserve">First Name: Ade
Last Name: blank
Postal Code: 15117</t>
  </si>
  <si>
    <t xml:space="preserve">1. Add item and open checkout information page
2. Fill First Name
3. Leave Last Name blank
4. Fill Postal Code
5. Click Continue</t>
  </si>
  <si>
    <t xml:space="preserve">1. Error: Last Name is required is displayed
2. User remains on checkout information page</t>
  </si>
  <si>
    <t xml:space="preserve">SD-UI-TC-064</t>
  </si>
  <si>
    <t xml:space="preserve">Checkout requires postal code</t>
  </si>
  <si>
    <t xml:space="preserve">First Name: Ade
Last Name: QA
Postal Code: blank</t>
  </si>
  <si>
    <t xml:space="preserve">1. Add item and open checkout information page
2. Fill First Name and Last Name
3. Leave Postal Code blank
4. Click Continue</t>
  </si>
  <si>
    <t xml:space="preserve">1. Error: Postal Code is required is displayed
2. User remains on checkout information page</t>
  </si>
  <si>
    <t xml:space="preserve">SD-UI-TC-065</t>
  </si>
  <si>
    <t xml:space="preserve">@regression @checkout @negative</t>
  </si>
  <si>
    <t xml:space="preserve">Checkout with all fields empty shows first required-field error</t>
  </si>
  <si>
    <t xml:space="preserve">All fields: blank</t>
  </si>
  <si>
    <t xml:space="preserve">1. Add item and open checkout information page
2. Leave all fields empty
3. Click Continue</t>
  </si>
  <si>
    <t xml:space="preserve">1. First Name required error is displayed first
2. User remains on checkout information page</t>
  </si>
  <si>
    <t xml:space="preserve">SD-UI-TC-066</t>
  </si>
  <si>
    <t xml:space="preserve">Valid checkout information proceeds to overview</t>
  </si>
  <si>
    <t xml:space="preserve">Username: standard_user
Password: secret_sauce
First Name: Ade
Last Name: QA
Postal Code: 15117</t>
  </si>
  <si>
    <t xml:space="preserve">1. Add item and open checkout information page
2. Fill First Name, Last Name, and Postal Code
3. Click Continue</t>
  </si>
  <si>
    <t xml:space="preserve">1. Checkout overview page opens
2. URL is /checkout-step-two.html</t>
  </si>
  <si>
    <t xml:space="preserve">SD-UI-TC-067</t>
  </si>
  <si>
    <t xml:space="preserve">@regression @checkout @edge</t>
  </si>
  <si>
    <t xml:space="preserve">Checkout accepts numeric name values according to demo limitation</t>
  </si>
  <si>
    <t xml:space="preserve">First Name: 123
Last Name: 456
Postal Code: 789</t>
  </si>
  <si>
    <t xml:space="preserve">1. Add item and open checkout information page
2. Fill numeric values
3. Click Continue</t>
  </si>
  <si>
    <t xml:space="preserve">1. Form proceeds because fields are non-empty
2. Actual limitation is documented</t>
  </si>
  <si>
    <t xml:space="preserve">SD-UI-TC-068</t>
  </si>
  <si>
    <t xml:space="preserve">Checkout accepts special characters according to demo limitation</t>
  </si>
  <si>
    <t xml:space="preserve">First Name: @@@
Last Name: ###
Postal Code: $$$</t>
  </si>
  <si>
    <t xml:space="preserve">1. Add item and open checkout information page
2. Fill special characters
3. Click Continue</t>
  </si>
  <si>
    <t xml:space="preserve">SD-UI-TC-069</t>
  </si>
  <si>
    <t xml:space="preserve">Checkout accepts very long text values without page crash</t>
  </si>
  <si>
    <t xml:space="preserve">First Name/Last Name/Postal Code: 100 characters each</t>
  </si>
  <si>
    <t xml:space="preserve">1. Add item and open checkout information page
2. Fill long text values
3. Click Continue</t>
  </si>
  <si>
    <t xml:space="preserve">1. Application remains stable
2. Either proceeds or displays consistent handling</t>
  </si>
  <si>
    <t xml:space="preserve">SD-UI-TC-070</t>
  </si>
  <si>
    <t xml:space="preserve">@sanity @regression @checkout</t>
  </si>
  <si>
    <t xml:space="preserve">Cancel from checkout information returns to cart</t>
  </si>
  <si>
    <t xml:space="preserve">1. Add Backpack
2. Open checkout information page
3. Click Cancel</t>
  </si>
  <si>
    <t xml:space="preserve">1. User returns to /cart.html
2. Cart item remains present</t>
  </si>
  <si>
    <t xml:space="preserve">SD-UI-TC-071</t>
  </si>
  <si>
    <t xml:space="preserve">Checkout information form retains or clears values consistently after validation error</t>
  </si>
  <si>
    <t xml:space="preserve">1. Trigger validation error with missing Last Name
2. Observe First Name and Postal Code values</t>
  </si>
  <si>
    <t xml:space="preserve">1. Previously entered values are retained or cleared consistently
2. Actual behavior is documented</t>
  </si>
  <si>
    <t xml:space="preserve">SD-UI-TC-072</t>
  </si>
  <si>
    <t xml:space="preserve">@regression @checkout @ui</t>
  </si>
  <si>
    <t xml:space="preserve">Checkout information page displays expected field placeholders</t>
  </si>
  <si>
    <t xml:space="preserve">1. Open checkout information page
2. Inspect field placeholders and buttons</t>
  </si>
  <si>
    <t xml:space="preserve">1. First Name, Last Name, Postal Code placeholders are visible
2. Cancel and Continue buttons are visible</t>
  </si>
  <si>
    <t xml:space="preserve">SD-UI-TC-073</t>
  </si>
  <si>
    <t xml:space="preserve">Unauthenticated user cannot directly access checkout information page</t>
  </si>
  <si>
    <t xml:space="preserve">URL: /checkout-step-one.html</t>
  </si>
  <si>
    <t xml:space="preserve">1. Open /checkout-step-one.html without login</t>
  </si>
  <si>
    <t xml:space="preserve">SD-UI-TC-074</t>
  </si>
  <si>
    <t xml:space="preserve">Checkout information page remains usable after browser refresh</t>
  </si>
  <si>
    <t xml:space="preserve">1. Add item and open checkout information page
2. Refresh browser
3. Fill valid data and continue</t>
  </si>
  <si>
    <t xml:space="preserve">1. Checkout information page reloads consistently
2. Valid data can still proceed to overview</t>
  </si>
  <si>
    <t xml:space="preserve">SD-UI-TC-075</t>
  </si>
  <si>
    <t xml:space="preserve">Checkout Overview</t>
  </si>
  <si>
    <t xml:space="preserve">Checkout overview loads after valid information</t>
  </si>
  <si>
    <t xml:space="preserve">1. Add Backpack
2. Complete checkout information
3. Observe overview page</t>
  </si>
  <si>
    <t xml:space="preserve">1. Checkout: Overview title is displayed
2. Cart item appears in overview</t>
  </si>
  <si>
    <t xml:space="preserve">SD-UI-TC-076</t>
  </si>
  <si>
    <t xml:space="preserve">Item Validation</t>
  </si>
  <si>
    <t xml:space="preserve">@regression @checkout</t>
  </si>
  <si>
    <t xml:space="preserve">Overview displays correct single item details</t>
  </si>
  <si>
    <t xml:space="preserve">1. Add Backpack
2. Proceed to overview
3. Inspect item details</t>
  </si>
  <si>
    <t xml:space="preserve">1. Item name, description, quantity, and price match cart</t>
  </si>
  <si>
    <t xml:space="preserve">SD-UI-TC-077</t>
  </si>
  <si>
    <t xml:space="preserve">Overview displays all selected multiple items</t>
  </si>
  <si>
    <t xml:space="preserve">1. Add three products
2. Proceed to overview
3. Inspect item list</t>
  </si>
  <si>
    <t xml:space="preserve">1. All selected products appear in overview
2. Each product price is correct</t>
  </si>
  <si>
    <t xml:space="preserve">SD-UI-TC-078</t>
  </si>
  <si>
    <t xml:space="preserve">Totals</t>
  </si>
  <si>
    <t xml:space="preserve">@regression @checkout @price</t>
  </si>
  <si>
    <t xml:space="preserve">Item total equals sum of selected product prices</t>
  </si>
  <si>
    <t xml:space="preserve">Products: Backpack $29.99 + Bike Light $9.99</t>
  </si>
  <si>
    <t xml:space="preserve">1. Add Backpack and Bike Light
2. Proceed to overview
3. Review Item total</t>
  </si>
  <si>
    <t xml:space="preserve">1. Item total equals $39.98 before tax</t>
  </si>
  <si>
    <t xml:space="preserve">SD-UI-TC-079</t>
  </si>
  <si>
    <t xml:space="preserve">Tax value is displayed and non-negative</t>
  </si>
  <si>
    <t xml:space="preserve">Any valid cart item</t>
  </si>
  <si>
    <t xml:space="preserve">1. Add item
2. Proceed to overview
3. Review Tax line</t>
  </si>
  <si>
    <t xml:space="preserve">1. Tax line is visible
2. Tax amount is numeric and non-negative</t>
  </si>
  <si>
    <t xml:space="preserve">SD-UI-TC-080</t>
  </si>
  <si>
    <t xml:space="preserve">Total equals item total plus tax</t>
  </si>
  <si>
    <t xml:space="preserve">Products: multiple products</t>
  </si>
  <si>
    <t xml:space="preserve">1. Add multiple products
2. Proceed to overview
3. Compare Item total, Tax, and Total</t>
  </si>
  <si>
    <t xml:space="preserve">1. Total equals Item total + Tax
2. Displayed values use USD format</t>
  </si>
  <si>
    <t xml:space="preserve">SD-UI-TC-081</t>
  </si>
  <si>
    <t xml:space="preserve">Payment</t>
  </si>
  <si>
    <t xml:space="preserve">Overview displays expected payment information</t>
  </si>
  <si>
    <t xml:space="preserve">Expected payment: SauceCard #31337</t>
  </si>
  <si>
    <t xml:space="preserve">1. Proceed to overview
2. Inspect Payment Information section</t>
  </si>
  <si>
    <t xml:space="preserve">1. Payment Information displays SauceCard #31337</t>
  </si>
  <si>
    <t xml:space="preserve">SD-UI-TC-082</t>
  </si>
  <si>
    <t xml:space="preserve">Shipping</t>
  </si>
  <si>
    <t xml:space="preserve">Overview displays expected shipping information</t>
  </si>
  <si>
    <t xml:space="preserve">Expected shipping: Free Pony Express Delivery!</t>
  </si>
  <si>
    <t xml:space="preserve">1. Proceed to overview
2. Inspect Shipping Information section</t>
  </si>
  <si>
    <t xml:space="preserve">1. Shipping Information displays Free Pony Express Delivery!</t>
  </si>
  <si>
    <t xml:space="preserve">SD-UI-TC-083</t>
  </si>
  <si>
    <t xml:space="preserve">Cancel from overview returns to inventory page</t>
  </si>
  <si>
    <t xml:space="preserve">1. Proceed to overview
2. Click Cancel</t>
  </si>
  <si>
    <t xml:space="preserve">1. User is returned to /inventory.html
2. Cart state behavior is documented</t>
  </si>
  <si>
    <t xml:space="preserve">SD-UI-TC-084</t>
  </si>
  <si>
    <t xml:space="preserve">Completion</t>
  </si>
  <si>
    <t xml:space="preserve">Finish button completes order</t>
  </si>
  <si>
    <t xml:space="preserve">1. Proceed to overview
2. Click Finish</t>
  </si>
  <si>
    <t xml:space="preserve">1. Order confirmation page opens
2. Thank you message is displayed</t>
  </si>
  <si>
    <t xml:space="preserve">SD-UI-TC-085</t>
  </si>
  <si>
    <t xml:space="preserve">Unauthenticated user cannot directly access checkout overview</t>
  </si>
  <si>
    <t xml:space="preserve">URL: /checkout-step-two.html</t>
  </si>
  <si>
    <t xml:space="preserve">1. Open /checkout-step-two.html without login</t>
  </si>
  <si>
    <t xml:space="preserve">SD-UI-TC-086</t>
  </si>
  <si>
    <t xml:space="preserve">Overview behavior after cart reset is handled consistently</t>
  </si>
  <si>
    <t xml:space="preserve">1. Add Backpack
2. Proceed to overview
3. Open menu
4. Click Reset App State if available
5. Observe overview or navigate back to cart</t>
  </si>
  <si>
    <t xml:space="preserve">1. Application handles cleared cart state consistently
2. No browser error occurs</t>
  </si>
  <si>
    <t xml:space="preserve">SD-UI-TC-087</t>
  </si>
  <si>
    <t xml:space="preserve">Checkout Complete</t>
  </si>
  <si>
    <t xml:space="preserve">Confirmation</t>
  </si>
  <si>
    <t xml:space="preserve">@smoke @regression @checkout @e2e</t>
  </si>
  <si>
    <t xml:space="preserve">Order confirmation displays success message</t>
  </si>
  <si>
    <t xml:space="preserve">1. Complete checkout flow
2. Observe confirmation page</t>
  </si>
  <si>
    <t xml:space="preserve">1. Checkout: Complete! title is displayed
2. Thank you for your order! message is displayed</t>
  </si>
  <si>
    <t xml:space="preserve">SD-UI-TC-088</t>
  </si>
  <si>
    <t xml:space="preserve">Order confirmation displays dispatch message and success icon</t>
  </si>
  <si>
    <t xml:space="preserve">1. Complete checkout flow
2. Inspect confirmation page</t>
  </si>
  <si>
    <t xml:space="preserve">1. Success icon is visible
2. Dispatch sub-message is displayed</t>
  </si>
  <si>
    <t xml:space="preserve">SD-UI-TC-089</t>
  </si>
  <si>
    <t xml:space="preserve">Back Home returns to inventory page</t>
  </si>
  <si>
    <t xml:space="preserve">1. Complete checkout flow
2. Click Back Home</t>
  </si>
  <si>
    <t xml:space="preserve">1. User returns to /inventory.html
2. Products page is displayed</t>
  </si>
  <si>
    <t xml:space="preserve">SD-UI-TC-090</t>
  </si>
  <si>
    <t xml:space="preserve">@regression @checkout @cart</t>
  </si>
  <si>
    <t xml:space="preserve">Cart is cleared after Back Home from confirmation</t>
  </si>
  <si>
    <t xml:space="preserve">1. Complete checkout flow
2. Click Back Home
3. Open cart</t>
  </si>
  <si>
    <t xml:space="preserve">1. Cart is empty
2. Cart badge is not displayed</t>
  </si>
  <si>
    <t xml:space="preserve">SD-UI-TC-091</t>
  </si>
  <si>
    <t xml:space="preserve">Authenticated user direct access to confirmation page is handled consistently</t>
  </si>
  <si>
    <t xml:space="preserve">URL: /checkout-complete.html</t>
  </si>
  <si>
    <t xml:space="preserve">1. Log in
2. Open confirmation URL directly</t>
  </si>
  <si>
    <t xml:space="preserve">1. Application handles direct access consistently
2. Document actual behavior</t>
  </si>
  <si>
    <t xml:space="preserve">SD-UI-TC-092</t>
  </si>
  <si>
    <t xml:space="preserve">Unauthenticated user cannot directly access confirmation page</t>
  </si>
  <si>
    <t xml:space="preserve">1. Open /checkout-complete.html without login</t>
  </si>
  <si>
    <t xml:space="preserve">SD-UI-TC-093</t>
  </si>
  <si>
    <t xml:space="preserve">Browser Navigation</t>
  </si>
  <si>
    <t xml:space="preserve">Browser back after order confirmation is handled consistently</t>
  </si>
  <si>
    <t xml:space="preserve">1. Complete checkout flow
2. Use browser Back button
3. Observe resulting page state</t>
  </si>
  <si>
    <t xml:space="preserve">1. Application handles back navigation consistently
2. No duplicate confirmation side effects are observed</t>
  </si>
  <si>
    <t xml:space="preserve">SD-UI-TC-094</t>
  </si>
  <si>
    <t xml:space="preserve">Navigation Menu</t>
  </si>
  <si>
    <t xml:space="preserve">Drawer</t>
  </si>
  <si>
    <t xml:space="preserve">@sanity @regression @navigation</t>
  </si>
  <si>
    <t xml:space="preserve">Hamburger menu opens navigation drawer</t>
  </si>
  <si>
    <t xml:space="preserve">1. Click hamburger menu</t>
  </si>
  <si>
    <t xml:space="preserve">1. Navigation drawer opens
2. Menu items are visible</t>
  </si>
  <si>
    <t xml:space="preserve">SD-UI-TC-095</t>
  </si>
  <si>
    <t xml:space="preserve">@regression @navigation</t>
  </si>
  <si>
    <t xml:space="preserve">Close button hides navigation drawer</t>
  </si>
  <si>
    <t xml:space="preserve">1. Open hamburger menu
2. Click close button</t>
  </si>
  <si>
    <t xml:space="preserve">1. Navigation drawer closes
2. Current page remains unchanged</t>
  </si>
  <si>
    <t xml:space="preserve">SD-UI-TC-096</t>
  </si>
  <si>
    <t xml:space="preserve">All Items</t>
  </si>
  <si>
    <t xml:space="preserve">All Items navigates to inventory page</t>
  </si>
  <si>
    <t xml:space="preserve">Start page: cart or checkout</t>
  </si>
  <si>
    <t xml:space="preserve">1. Open cart page
2. Open menu
3. Click All Items</t>
  </si>
  <si>
    <t xml:space="preserve">1. User is navigated to /inventory.html</t>
  </si>
  <si>
    <t xml:space="preserve">SD-UI-TC-097</t>
  </si>
  <si>
    <t xml:space="preserve">About</t>
  </si>
  <si>
    <t xml:space="preserve">About menu item opens Sauce Labs site</t>
  </si>
  <si>
    <t xml:space="preserve">Expected URL: https://saucelabs.com/</t>
  </si>
  <si>
    <t xml:space="preserve">1. Open menu
2. Click About</t>
  </si>
  <si>
    <t xml:space="preserve">1. Browser navigates to Sauce Labs website in current tab</t>
  </si>
  <si>
    <t xml:space="preserve">SD-UI-TC-098</t>
  </si>
  <si>
    <t xml:space="preserve">Logout</t>
  </si>
  <si>
    <t xml:space="preserve">@smoke @regression @navigation @login</t>
  </si>
  <si>
    <t xml:space="preserve">Logout returns user to login page</t>
  </si>
  <si>
    <t xml:space="preserve">1. Open menu
2. Click Logout</t>
  </si>
  <si>
    <t xml:space="preserve">1. User is redirected to login page
2. Login form is visible</t>
  </si>
  <si>
    <t xml:space="preserve">SD-UI-TC-099</t>
  </si>
  <si>
    <t xml:space="preserve">@regression @navigation @negative</t>
  </si>
  <si>
    <t xml:space="preserve">Protected page is not accessible after logout</t>
  </si>
  <si>
    <t xml:space="preserve">1. Log out
2. Attempt to open /inventory.html directly</t>
  </si>
  <si>
    <t xml:space="preserve">SD-UI-TC-100</t>
  </si>
  <si>
    <t xml:space="preserve">Reset App State</t>
  </si>
  <si>
    <t xml:space="preserve">@sanity @regression @navigation @cart</t>
  </si>
  <si>
    <t xml:space="preserve">Reset App State clears cart badge and buttons</t>
  </si>
  <si>
    <t xml:space="preserve">1. Add two products
2. Open menu
3. Click Reset App State</t>
  </si>
  <si>
    <t xml:space="preserve">1. Cart badge disappears
2. Selected product buttons return to Add to Cart</t>
  </si>
  <si>
    <t xml:space="preserve">SD-UI-TC-101</t>
  </si>
  <si>
    <t xml:space="preserve">Availability</t>
  </si>
  <si>
    <t xml:space="preserve">@regression @navigation @ui</t>
  </si>
  <si>
    <t xml:space="preserve">Navigation menu is available from all authenticated pages</t>
  </si>
  <si>
    <t xml:space="preserve">Pages: inventory, detail, cart, checkout steps</t>
  </si>
  <si>
    <t xml:space="preserve">1. Visit each authenticated page
2. Check hamburger menu visibility</t>
  </si>
  <si>
    <t xml:space="preserve">1. Hamburger menu is visible and usable on each page</t>
  </si>
  <si>
    <t xml:space="preserve">SD-UI-TC-102</t>
  </si>
  <si>
    <t xml:space="preserve">@regression @navigation @edge</t>
  </si>
  <si>
    <t xml:space="preserve">Reset App State during checkout handles checkout state consistently</t>
  </si>
  <si>
    <t xml:space="preserve">1. Proceed to checkout information or overview
2. Open menu
3. Click Reset App State
4. Continue navigation</t>
  </si>
  <si>
    <t xml:space="preserve">1. Application handles reset state consistently
2. No browser error occurs</t>
  </si>
  <si>
    <t xml:space="preserve">SD-UI-TC-103</t>
  </si>
  <si>
    <t xml:space="preserve">User Types / Known Behaviors</t>
  </si>
  <si>
    <t xml:space="preserve">problem_user</t>
  </si>
  <si>
    <t xml:space="preserve">Known Bug</t>
  </si>
  <si>
    <t xml:space="preserve">@regression @known-bug @problem-user</t>
  </si>
  <si>
    <t xml:space="preserve">problem_user shows incorrect product images</t>
  </si>
  <si>
    <t xml:space="preserve">1. Log in as problem_user
2. Inspect inventory product images</t>
  </si>
  <si>
    <t xml:space="preserve">1. Images do not match expected catalog behavior
2. Bug is documented as known issue</t>
  </si>
  <si>
    <t xml:space="preserve">SD-UI-TC-104</t>
  </si>
  <si>
    <t xml:space="preserve">@regression @known-bug @problem-user @sort</t>
  </si>
  <si>
    <t xml:space="preserve">problem_user sorting does not work correctly</t>
  </si>
  <si>
    <t xml:space="preserve">1. Log in as problem_user
2. Apply Price low to high sort
3. Observe product order</t>
  </si>
  <si>
    <t xml:space="preserve">1. Sort order does not match expected behavior
2. Bug is documented as known issue</t>
  </si>
  <si>
    <t xml:space="preserve">SD-UI-TC-105</t>
  </si>
  <si>
    <t xml:space="preserve">@regression @known-bug @problem-user @e2e</t>
  </si>
  <si>
    <t xml:space="preserve">problem_user checkout journey exposes known product behavior issues</t>
  </si>
  <si>
    <t xml:space="preserve">1. Log in as problem_user
2. Attempt to add product and complete checkout
3. Document behavior</t>
  </si>
  <si>
    <t xml:space="preserve">1. Known product/image/sort issues are visible
2. Flow result is documented without treating intentional bug as new defect</t>
  </si>
  <si>
    <t xml:space="preserve">SD-UI-TC-106</t>
  </si>
  <si>
    <t xml:space="preserve">performance_glitch_user</t>
  </si>
  <si>
    <t xml:space="preserve">@regression @performance @login</t>
  </si>
  <si>
    <t xml:space="preserve">performance_glitch_user login delay is observed</t>
  </si>
  <si>
    <t xml:space="preserve">1. Log in as performance_glitch_user
2. Measure rough time to inventory page</t>
  </si>
  <si>
    <t xml:space="preserve">1. Inventory page eventually loads
2. Observed delay is documented</t>
  </si>
  <si>
    <t xml:space="preserve">SD-UI-TC-107</t>
  </si>
  <si>
    <t xml:space="preserve">E2E</t>
  </si>
  <si>
    <t xml:space="preserve">@regression @performance @e2e</t>
  </si>
  <si>
    <t xml:space="preserve">performance_glitch_user can complete checkout after delayed login</t>
  </si>
  <si>
    <t xml:space="preserve">Username: performance_glitch_user
Password: secret_sauce
Checkout data: valid</t>
  </si>
  <si>
    <t xml:space="preserve">1. Log in as performance_glitch_user
2. Add item
3. Complete checkout</t>
  </si>
  <si>
    <t xml:space="preserve">1. Checkout can complete after delay
2. No timeout-sensitive failure occurs in manual execution</t>
  </si>
  <si>
    <t xml:space="preserve">SD-UI-TC-108</t>
  </si>
  <si>
    <t xml:space="preserve">error_user</t>
  </si>
  <si>
    <t xml:space="preserve">@regression @known-bug @error-user</t>
  </si>
  <si>
    <t xml:space="preserve">error_user interaction errors are observable</t>
  </si>
  <si>
    <t xml:space="preserve">1. Log in as error_user
2. Try adding/removing products and navigating checkout
3. Record behavior</t>
  </si>
  <si>
    <t xml:space="preserve">1. Known error_user interaction behavior is observed and documented</t>
  </si>
  <si>
    <t xml:space="preserve">SD-UI-TC-109</t>
  </si>
  <si>
    <t xml:space="preserve">visual_user</t>
  </si>
  <si>
    <t xml:space="preserve">@regression @known-bug @visual-user @ui</t>
  </si>
  <si>
    <t xml:space="preserve">visual_user layout defects are visible</t>
  </si>
  <si>
    <t xml:space="preserve">1. Log in as visual_user
2. Inspect inventory and checkout pages</t>
  </si>
  <si>
    <t xml:space="preserve">1. Intentional visual/layout differences are visible
2. Issues are documented separately from functional defects</t>
  </si>
  <si>
    <t xml:space="preserve">SD-UI-TC-110</t>
  </si>
  <si>
    <t xml:space="preserve">locked_out_user</t>
  </si>
  <si>
    <t xml:space="preserve">@sanity @regression @locked-user @negative</t>
  </si>
  <si>
    <t xml:space="preserve">locked_out_user cannot access any authenticated page</t>
  </si>
  <si>
    <t xml:space="preserve">1. Attempt login as locked_out_user
2. Attempt direct inventory URL access</t>
  </si>
  <si>
    <t xml:space="preserve">1. Login is blocked
2. Authenticated pages remain inaccessible</t>
  </si>
  <si>
    <t xml:space="preserve">SD-UI-TC-111</t>
  </si>
  <si>
    <t xml:space="preserve">standard_user</t>
  </si>
  <si>
    <t xml:space="preserve">@smoke @regression @standard-user</t>
  </si>
  <si>
    <t xml:space="preserve">standard_user has normal product and checkout behavior</t>
  </si>
  <si>
    <t xml:space="preserve">1. Log in as standard_user
2. Browse products
3. Complete checkout</t>
  </si>
  <si>
    <t xml:space="preserve">1. No intentional defects are observed
2. Order completes successfully</t>
  </si>
  <si>
    <t xml:space="preserve">SD-UI-TC-112</t>
  </si>
  <si>
    <t xml:space="preserve">All Users</t>
  </si>
  <si>
    <t xml:space="preserve">@regression @user</t>
  </si>
  <si>
    <t xml:space="preserve">Accepted username list includes all documented users</t>
  </si>
  <si>
    <t xml:space="preserve">1. Open login page
2. Compare username hint with documented user list</t>
  </si>
  <si>
    <t xml:space="preserve">1. standard_user, locked_out_user, problem_user, performance_glitch_user, error_user, and visual_user are listed</t>
  </si>
  <si>
    <t xml:space="preserve">SD-UI-TC-113</t>
  </si>
  <si>
    <t xml:space="preserve">@regression @user @edge</t>
  </si>
  <si>
    <t xml:space="preserve">All documented users share same password</t>
  </si>
  <si>
    <t xml:space="preserve">Password: secret_sauce</t>
  </si>
  <si>
    <t xml:space="preserve">1. Attempt login with each documented username and secret_sauce
2. Record expected behavior per user</t>
  </si>
  <si>
    <t xml:space="preserve">1. Each user follows documented behavior with shared password</t>
  </si>
  <si>
    <t xml:space="preserve">SD-UI-TC-114</t>
  </si>
  <si>
    <t xml:space="preserve">@regression @known-bug @problem-user @product-detail</t>
  </si>
  <si>
    <t xml:space="preserve">problem_user product detail image behavior is documented</t>
  </si>
  <si>
    <t xml:space="preserve">1. Log in as problem_user
2. Open product detail pages
3. Inspect product images</t>
  </si>
  <si>
    <t xml:space="preserve">1. Wrong image behavior is documented where present</t>
  </si>
  <si>
    <t xml:space="preserve">SD-UI-TC-115</t>
  </si>
  <si>
    <t xml:space="preserve">@regression @known-bug @visual-user @checkout</t>
  </si>
  <si>
    <t xml:space="preserve">visual_user checkout layout differences are documented</t>
  </si>
  <si>
    <t xml:space="preserve">1. Log in as visual_user
2. Proceed through checkout pages
3. Inspect layout</t>
  </si>
  <si>
    <t xml:space="preserve">1. Intentional layout differences are documented</t>
  </si>
  <si>
    <t xml:space="preserve">SD-UI-TC-116</t>
  </si>
  <si>
    <t xml:space="preserve">@regression @known-bug @error-user @checkout</t>
  </si>
  <si>
    <t xml:space="preserve">error_user checkout behavior is documented</t>
  </si>
  <si>
    <t xml:space="preserve">1. Log in as error_user
2. Attempt checkout flow
3. Record any interaction errors</t>
  </si>
  <si>
    <t xml:space="preserve">1. Known error behavior is documented
2. Unexpected errors are flagged separately</t>
  </si>
  <si>
    <t xml:space="preserve">SD-UI-TC-117</t>
  </si>
  <si>
    <t xml:space="preserve">End-to-End Order Flow</t>
  </si>
  <si>
    <t xml:space="preserve">Single Item Purchase</t>
  </si>
  <si>
    <t xml:space="preserve">@smoke @regression @e2e @checkout</t>
  </si>
  <si>
    <t xml:space="preserve">Complete checkout with one item from inventory</t>
  </si>
  <si>
    <t xml:space="preserve">1. Log in as standard_user
2. Add Sauce Labs Backpack from inventory
3. Open cart
4. Proceed through checkout
5. Finish order</t>
  </si>
  <si>
    <t xml:space="preserve">1. Order confirmation is displayed
2. Back Home returns to inventory
3. Cart is cleared after completion</t>
  </si>
  <si>
    <t xml:space="preserve">SD-UI-TC-118</t>
  </si>
  <si>
    <t xml:space="preserve">Multiple Item Purchase</t>
  </si>
  <si>
    <t xml:space="preserve">@regression @e2e @checkout</t>
  </si>
  <si>
    <t xml:space="preserve">Complete checkout with multiple items from inventory</t>
  </si>
  <si>
    <t xml:space="preserve">1. Log in as standard_user
2. Add Backpack, Bike Light, and Onesie
3. Open cart
4. Complete checkout</t>
  </si>
  <si>
    <t xml:space="preserve">1. All selected items appear in cart and overview
2. Totals are correct
3. Order confirmation is displayed</t>
  </si>
  <si>
    <t xml:space="preserve">SD-UI-TC-119</t>
  </si>
  <si>
    <t xml:space="preserve">Product Detail Purchase</t>
  </si>
  <si>
    <t xml:space="preserve">@regression @e2e @product-detail @checkout</t>
  </si>
  <si>
    <t xml:space="preserve">Complete checkout with item added from product detail page</t>
  </si>
  <si>
    <t xml:space="preserve">1. Log in
2. Open Fleece Jacket detail page
3. Add item
4. Open cart
5. Complete checkout</t>
  </si>
  <si>
    <t xml:space="preserve">1. Fleece Jacket appears in cart and overview
2. Order completes successfully</t>
  </si>
  <si>
    <t xml:space="preserve">SD-UI-TC-120</t>
  </si>
  <si>
    <t xml:space="preserve">Sort And Purchase</t>
  </si>
  <si>
    <t xml:space="preserve">@regression @e2e @sort @checkout</t>
  </si>
  <si>
    <t xml:space="preserve">Sort low to high then purchase cheapest product</t>
  </si>
  <si>
    <t xml:space="preserve">1. Log in
2. Sort Price low to high
3. Add first product
4. Complete checkout</t>
  </si>
  <si>
    <t xml:space="preserve">1. Cheapest product is Sauce Labs Onesie
2. Checkout overview total matches selected item
3. Order completes</t>
  </si>
  <si>
    <t xml:space="preserve">SD-UI-TC-121</t>
  </si>
  <si>
    <t xml:space="preserve">Sort high to low then purchase most expensive product</t>
  </si>
  <si>
    <t xml:space="preserve">1. Log in
2. Sort Price high to low
3. Add first product
4. Complete checkout</t>
  </si>
  <si>
    <t xml:space="preserve">1. Most expensive product is Sauce Labs Fleece Jacket
2. Checkout overview total matches selected item
3. Order completes</t>
  </si>
  <si>
    <t xml:space="preserve">SD-UI-TC-122</t>
  </si>
  <si>
    <t xml:space="preserve">Cart Modification</t>
  </si>
  <si>
    <t xml:space="preserve">@regression @e2e @cart @checkout</t>
  </si>
  <si>
    <t xml:space="preserve">Add multiple items remove one then complete checkout</t>
  </si>
  <si>
    <t xml:space="preserve">1. Log in
2. Add three products
3. Open cart
4. Remove one product
5. Complete checkout</t>
  </si>
  <si>
    <t xml:space="preserve">1. Removed item is not present in overview
2. Remaining items total correctly
3. Order completes</t>
  </si>
  <si>
    <t xml:space="preserve">SD-UI-TC-123</t>
  </si>
  <si>
    <t xml:space="preserve">@regression @e2e @cart</t>
  </si>
  <si>
    <t xml:space="preserve">Continue shopping after adding item then complete checkout</t>
  </si>
  <si>
    <t xml:space="preserve">1. Log in
2. Add Backpack
3. Open cart
4. Click Continue Shopping
5. Add Bike Light
6. Complete checkout</t>
  </si>
  <si>
    <t xml:space="preserve">1. Both products are present in final overview
2. Order completes</t>
  </si>
  <si>
    <t xml:space="preserve">SD-UI-TC-124</t>
  </si>
  <si>
    <t xml:space="preserve">Cancel Step One</t>
  </si>
  <si>
    <t xml:space="preserve">@sanity @regression @e2e @checkout</t>
  </si>
  <si>
    <t xml:space="preserve">Cancel checkout from information page and preserve cart</t>
  </si>
  <si>
    <t xml:space="preserve">1. Log in
2. Add Backpack
3. Open checkout information page
4. Click Cancel
5. Return to checkout and complete order</t>
  </si>
  <si>
    <t xml:space="preserve">1. Cancel returns to cart with item preserved
2. User can later complete checkout</t>
  </si>
  <si>
    <t xml:space="preserve">SD-UI-TC-125</t>
  </si>
  <si>
    <t xml:space="preserve">Cancel Step Two</t>
  </si>
  <si>
    <t xml:space="preserve">Cancel checkout from overview and verify navigation behavior</t>
  </si>
  <si>
    <t xml:space="preserve">1. Log in
2. Add Backpack
3. Proceed to overview
4. Click Cancel</t>
  </si>
  <si>
    <t xml:space="preserve">1. User returns to inventory page
2. Cart state behavior is documented</t>
  </si>
  <si>
    <t xml:space="preserve">SD-UI-TC-126</t>
  </si>
  <si>
    <t xml:space="preserve">Validation Recovery</t>
  </si>
  <si>
    <t xml:space="preserve">@regression @e2e @checkout @negative</t>
  </si>
  <si>
    <t xml:space="preserve">Recover from checkout validation error and complete order</t>
  </si>
  <si>
    <t xml:space="preserve">1. Log in
2. Add item
3. Open checkout information
4. Submit with missing first name
5. Correct field values
6. Continue and finish</t>
  </si>
  <si>
    <t xml:space="preserve">1. Validation error appears first
2. Corrected form proceeds
3. Order completes</t>
  </si>
  <si>
    <t xml:space="preserve">SD-UI-TC-127</t>
  </si>
  <si>
    <t xml:space="preserve">Logout Journey</t>
  </si>
  <si>
    <t xml:space="preserve">@regression @e2e @login @navigation</t>
  </si>
  <si>
    <t xml:space="preserve">Logout after adding item and verify session protection</t>
  </si>
  <si>
    <t xml:space="preserve">1. Log in
2. Add Backpack
3. Open menu
4. Logout
5. Attempt direct cart URL</t>
  </si>
  <si>
    <t xml:space="preserve">1. User returns to login
2. Cart/protected page cannot be accessed without login</t>
  </si>
  <si>
    <t xml:space="preserve">SD-UI-TC-128</t>
  </si>
  <si>
    <t xml:space="preserve">Reset Journey</t>
  </si>
  <si>
    <t xml:space="preserve">@regression @e2e @navigation @cart</t>
  </si>
  <si>
    <t xml:space="preserve">Reset app state after adding items then start fresh checkout</t>
  </si>
  <si>
    <t xml:space="preserve">1. Log in
2. Add two products
3. Reset App State
4. Add one different product
5. Complete checkout</t>
  </si>
  <si>
    <t xml:space="preserve">1. Initial cart is cleared after reset
2. Only new product appears in checkout
3. Order completes</t>
  </si>
  <si>
    <t xml:space="preserve">SD-UI-TC-129</t>
  </si>
  <si>
    <t xml:space="preserve">Direct URL Recovery</t>
  </si>
  <si>
    <t xml:space="preserve">@regression @e2e @edge</t>
  </si>
  <si>
    <t xml:space="preserve">Direct cart URL after login supports checkout journey</t>
  </si>
  <si>
    <t xml:space="preserve">1. Log in
2. Add Backpack
3. Open /cart.html directly
4. Complete checkout</t>
  </si>
  <si>
    <t xml:space="preserve">1. Cart page loads with item
2. Checkout completes</t>
  </si>
  <si>
    <t xml:space="preserve">SD-UI-TC-130</t>
  </si>
  <si>
    <t xml:space="preserve">Browser Refresh</t>
  </si>
  <si>
    <t xml:space="preserve">Refresh during cart review preserves usable journey</t>
  </si>
  <si>
    <t xml:space="preserve">1. Log in
2. Add item
3. Open cart
4. Refresh browser
5. Continue checkout</t>
  </si>
  <si>
    <t xml:space="preserve">1. Cart page remains usable
2. Checkout can continue or actual persistence behavior is documented</t>
  </si>
  <si>
    <t xml:space="preserve">SD-UI-TC-131</t>
  </si>
  <si>
    <t xml:space="preserve">Browser Back</t>
  </si>
  <si>
    <t xml:space="preserve">Browser back during checkout is handled consistently</t>
  </si>
  <si>
    <t xml:space="preserve">1. Log in
2. Add item
3. Proceed to overview
4. Use browser Back
5. Continue again</t>
  </si>
  <si>
    <t xml:space="preserve">1. Application remains stable
2. User can complete checkout or documented behavior is observed</t>
  </si>
  <si>
    <t xml:space="preserve">SD-UI-TC-132</t>
  </si>
  <si>
    <t xml:space="preserve">All Products</t>
  </si>
  <si>
    <t xml:space="preserve">Checkout with all six products</t>
  </si>
  <si>
    <t xml:space="preserve">1. Log in
2. Add all six products
3. Open cart
4. Proceed to overview
5. Review totals
6. Finish order</t>
  </si>
  <si>
    <t xml:space="preserve">1. All six products appear
2. Subtotal equals sum of all product prices
3. Order completes</t>
  </si>
  <si>
    <t xml:space="preserve">SD-UI-TC-133</t>
  </si>
  <si>
    <t xml:space="preserve">Mixed Source Cart</t>
  </si>
  <si>
    <t xml:space="preserve">@regression @e2e @product-detail @cart</t>
  </si>
  <si>
    <t xml:space="preserve">Add items from inventory and detail pages then checkout</t>
  </si>
  <si>
    <t xml:space="preserve">1. Log in
2. Add Backpack from inventory
3. Open Bike Light detail page and add
4. Open cart
5. Complete checkout</t>
  </si>
  <si>
    <t xml:space="preserve">1. Both items appear correctly
2. Order completes</t>
  </si>
  <si>
    <t xml:space="preserve">SD-UI-TC-134</t>
  </si>
  <si>
    <t xml:space="preserve">Known Bug Journey</t>
  </si>
  <si>
    <t xml:space="preserve">@regression @e2e @known-bug @problem-user</t>
  </si>
  <si>
    <t xml:space="preserve">problem_user sort-and-checkout journey documents known bug impact</t>
  </si>
  <si>
    <t xml:space="preserve">Username: problem_user
Password: secret_sauce
Checkout data: valid</t>
  </si>
  <si>
    <t xml:space="preserve">1. Log in as problem_user
2. Apply sort
3. Attempt product selection and checkout
4. Document observed behavior</t>
  </si>
  <si>
    <t xml:space="preserve">1. Known sort/image issues are captured
2. Unexpected blockers are documented separately</t>
  </si>
  <si>
    <t xml:space="preserve">SD-UI-TC-135</t>
  </si>
  <si>
    <t xml:space="preserve">Performance Journey</t>
  </si>
  <si>
    <t xml:space="preserve">@regression @e2e @performance</t>
  </si>
  <si>
    <t xml:space="preserve">performance_glitch_user completes one-item purchase after delay</t>
  </si>
  <si>
    <t xml:space="preserve">1. Log in as performance_glitch_user
2. Wait for inventory
3. Add one item
4. Complete checkout</t>
  </si>
  <si>
    <t xml:space="preserve">1. Order can complete after delayed page response
2. Manual execution notes capture timing</t>
  </si>
  <si>
    <t xml:space="preserve">SD-UI-TC-136</t>
  </si>
  <si>
    <t xml:space="preserve">Visual Journey</t>
  </si>
  <si>
    <t xml:space="preserve">@regression @e2e @visual-user @ui</t>
  </si>
  <si>
    <t xml:space="preserve">visual_user checkout journey documents visual defects</t>
  </si>
  <si>
    <t xml:space="preserve">Username: visual_user
Password: secret_sauce
Checkout data: valid</t>
  </si>
  <si>
    <t xml:space="preserve">1. Log in as visual_user
2. Complete checkout path while reviewing layout
3. Capture visual observations</t>
  </si>
  <si>
    <t xml:space="preserve">1. Functional flow result is documented
2. Visual issues are captured as known differences</t>
  </si>
  <si>
    <t xml:space="preserve">SauceDemo UI Manual Test Coverage Matrix</t>
  </si>
  <si>
    <t xml:space="preserve">Coverage summary by module and scenario type. Counts are formula-driven from the Test Cases sheet.</t>
  </si>
  <si>
    <t xml:space="preserve">Total</t>
  </si>
  <si>
    <t xml:space="preserve">TOTAL</t>
  </si>
  <si>
    <t xml:space="preserve">SauceDemo Manual Testing Progress</t>
  </si>
  <si>
    <t xml:space="preserve">Update Execution Status in the Test Cases sheet. This dashboard recalculates the progress numbers automatically.</t>
  </si>
  <si>
    <t xml:space="preserve">Metric</t>
  </si>
  <si>
    <t xml:space="preserve">Value</t>
  </si>
  <si>
    <t xml:space="preserve">Status</t>
  </si>
  <si>
    <t xml:space="preserve">Count</t>
  </si>
  <si>
    <t xml:space="preserve">Share</t>
  </si>
  <si>
    <t xml:space="preserve">Execution Meaning</t>
  </si>
  <si>
    <t xml:space="preserve">Next Action</t>
  </si>
  <si>
    <t xml:space="preserve">Total Test Cases</t>
  </si>
  <si>
    <t xml:space="preserve">Not executed yet</t>
  </si>
  <si>
    <t xml:space="preserve">Execute or assign</t>
  </si>
  <si>
    <t xml:space="preserve">Validated behavior</t>
  </si>
  <si>
    <t xml:space="preserve">Keep evidence</t>
  </si>
  <si>
    <t xml:space="preserve">Passed</t>
  </si>
  <si>
    <t xml:space="preserve">Fail</t>
  </si>
  <si>
    <t xml:space="preserve">Defect candidate</t>
  </si>
  <si>
    <t xml:space="preserve">Add defect ID and notes</t>
  </si>
  <si>
    <t xml:space="preserve">Failed</t>
  </si>
  <si>
    <t xml:space="preserve">Blocked</t>
  </si>
  <si>
    <t xml:space="preserve">Cannot execute</t>
  </si>
  <si>
    <t xml:space="preserve">Clarify blocker</t>
  </si>
  <si>
    <t xml:space="preserve">Skipped</t>
  </si>
  <si>
    <t xml:space="preserve">Out of current scope</t>
  </si>
  <si>
    <t xml:space="preserve">Revisit if needed</t>
  </si>
  <si>
    <t xml:space="preserve">Executed</t>
  </si>
  <si>
    <t xml:space="preserve">Completion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</si>
</sst>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_-;_-@_-"/>
    <numFmt numFmtId="167" formatCode="0%"/>
    <numFmt numFmtId="168" formatCode="0.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1F1F1F"/>
      <name val="Calibri"/>
      <family val="0"/>
      <charset val="1"/>
    </font>
    <font>
      <i val="true"/>
      <sz val="11"/>
      <color rgb="FF1F1F1F"/>
      <name val="Calibri"/>
      <family val="0"/>
      <charset val="1"/>
    </font>
    <font>
      <b val="true"/>
      <sz val="11"/>
      <color rgb="FF1F1F1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3F8"/>
        <bgColor rgb="FFE6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25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25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4EDBC"/>
        </patternFill>
      </fill>
    </dxf>
    <dxf>
      <fill>
        <patternFill>
          <bgColor rgb="FFB10202"/>
        </patternFill>
      </fill>
    </dxf>
    <dxf>
      <fill>
        <patternFill>
          <bgColor rgb="FFE6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1020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AF3F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nualTestCases" displayName="ManualTestCases" ref="A1:R137" headerRowCount="1" totalsRowCount="0" totalsRowShown="0">
  <tableColumns count="18">
    <tableColumn id="1" name="Test Case ID"/>
    <tableColumn id="2" name="Module"/>
    <tableColumn id="3" name="Sub Feature"/>
    <tableColumn id="4" name="Scenario Type"/>
    <tableColumn id="5" name="Priority"/>
    <tableColumn id="6" name="Severity"/>
    <tableColumn id="7" name="Tags"/>
    <tableColumn id="8" name="Title"/>
    <tableColumn id="9" name="Preconditions"/>
    <tableColumn id="10" name="Test Data"/>
    <tableColumn id="11" name="Steps"/>
    <tableColumn id="12" name="Expected Result"/>
    <tableColumn id="13" name="Execution Status"/>
    <tableColumn id="14" name="Actual Result"/>
    <tableColumn id="15" name="Defect ID"/>
    <tableColumn id="16" name="Automation Candidate"/>
    <tableColumn id="17" name="Automation Priority"/>
    <tableColumn id="1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7"/>
  <sheetViews>
    <sheetView showFormulas="false" showGridLines="false" showRowColHeaders="true" showZeros="true" rightToLeft="false" tabSelected="true" showOutlineSymbols="true" defaultGridColor="true" view="normal" topLeftCell="J57" colorId="64" zoomScale="100" zoomScaleNormal="100" zoomScalePageLayoutView="100" workbookViewId="0">
      <selection pane="topLeft" activeCell="J58" activeCellId="0" sqref="J58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1.67"/>
    <col collapsed="false" customWidth="true" hidden="false" outlineLevel="0" max="3" min="2" style="0" width="16.67"/>
    <col collapsed="false" customWidth="true" hidden="false" outlineLevel="0" max="6" min="4" style="0" width="11.67"/>
    <col collapsed="false" customWidth="true" hidden="false" outlineLevel="0" max="7" min="7" style="0" width="23.33"/>
    <col collapsed="false" customWidth="true" hidden="false" outlineLevel="0" max="8" min="8" style="0" width="33.33"/>
    <col collapsed="false" customWidth="true" hidden="false" outlineLevel="0" max="12" min="9" style="0" width="36.67"/>
    <col collapsed="false" customWidth="true" hidden="false" outlineLevel="0" max="17" min="13" style="0" width="14.44"/>
    <col collapsed="false" customWidth="true" hidden="false" outlineLevel="0" max="18" min="18" style="0" width="26.67"/>
    <col collapsed="false" customWidth="true" hidden="false" outlineLevel="0" max="16384" min="16384" style="0" width="11.5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72" hidden="false" customHeight="tru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/>
      <c r="P2" s="2" t="s">
        <v>32</v>
      </c>
      <c r="Q2" s="2" t="s">
        <v>23</v>
      </c>
      <c r="R2" s="2" t="s">
        <v>33</v>
      </c>
    </row>
    <row r="3" customFormat="false" ht="72" hidden="false" customHeight="true" outlineLevel="0" collapsed="false">
      <c r="A3" s="2" t="s">
        <v>34</v>
      </c>
      <c r="B3" s="2" t="s">
        <v>19</v>
      </c>
      <c r="C3" s="2" t="s">
        <v>20</v>
      </c>
      <c r="D3" s="2" t="s">
        <v>35</v>
      </c>
      <c r="E3" s="2" t="s">
        <v>22</v>
      </c>
      <c r="F3" s="2" t="s">
        <v>23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2" t="s">
        <v>40</v>
      </c>
      <c r="M3" s="2" t="s">
        <v>30</v>
      </c>
      <c r="N3" s="2" t="s">
        <v>31</v>
      </c>
      <c r="O3" s="2"/>
      <c r="P3" s="2" t="s">
        <v>32</v>
      </c>
      <c r="Q3" s="2" t="s">
        <v>23</v>
      </c>
      <c r="R3" s="2" t="s">
        <v>33</v>
      </c>
    </row>
    <row r="4" customFormat="false" ht="72" hidden="false" customHeight="true" outlineLevel="0" collapsed="false">
      <c r="A4" s="2" t="s">
        <v>41</v>
      </c>
      <c r="B4" s="2" t="s">
        <v>19</v>
      </c>
      <c r="C4" s="2" t="s">
        <v>42</v>
      </c>
      <c r="D4" s="2" t="s">
        <v>35</v>
      </c>
      <c r="E4" s="2" t="s">
        <v>23</v>
      </c>
      <c r="F4" s="2" t="s">
        <v>43</v>
      </c>
      <c r="G4" s="2" t="s">
        <v>36</v>
      </c>
      <c r="H4" s="2" t="s">
        <v>44</v>
      </c>
      <c r="I4" s="2" t="s">
        <v>26</v>
      </c>
      <c r="J4" s="2" t="s">
        <v>45</v>
      </c>
      <c r="K4" s="2" t="s">
        <v>46</v>
      </c>
      <c r="L4" s="2" t="s">
        <v>47</v>
      </c>
      <c r="M4" s="2" t="s">
        <v>30</v>
      </c>
      <c r="N4" s="2" t="s">
        <v>31</v>
      </c>
      <c r="O4" s="2"/>
      <c r="P4" s="2" t="s">
        <v>32</v>
      </c>
      <c r="Q4" s="2" t="s">
        <v>23</v>
      </c>
      <c r="R4" s="2" t="s">
        <v>33</v>
      </c>
    </row>
    <row r="5" customFormat="false" ht="72" hidden="false" customHeight="true" outlineLevel="0" collapsed="false">
      <c r="A5" s="2" t="s">
        <v>48</v>
      </c>
      <c r="B5" s="2" t="s">
        <v>19</v>
      </c>
      <c r="C5" s="2" t="s">
        <v>42</v>
      </c>
      <c r="D5" s="2" t="s">
        <v>35</v>
      </c>
      <c r="E5" s="2" t="s">
        <v>23</v>
      </c>
      <c r="F5" s="2" t="s">
        <v>43</v>
      </c>
      <c r="G5" s="2" t="s">
        <v>36</v>
      </c>
      <c r="H5" s="2" t="s">
        <v>49</v>
      </c>
      <c r="I5" s="2" t="s">
        <v>26</v>
      </c>
      <c r="J5" s="2" t="s">
        <v>50</v>
      </c>
      <c r="K5" s="2" t="s">
        <v>51</v>
      </c>
      <c r="L5" s="2" t="s">
        <v>52</v>
      </c>
      <c r="M5" s="2" t="s">
        <v>30</v>
      </c>
      <c r="N5" s="2" t="s">
        <v>31</v>
      </c>
      <c r="O5" s="2"/>
      <c r="P5" s="2" t="s">
        <v>32</v>
      </c>
      <c r="Q5" s="2" t="s">
        <v>23</v>
      </c>
      <c r="R5" s="2" t="s">
        <v>33</v>
      </c>
    </row>
    <row r="6" customFormat="false" ht="72" hidden="false" customHeight="true" outlineLevel="0" collapsed="false">
      <c r="A6" s="2" t="s">
        <v>53</v>
      </c>
      <c r="B6" s="2" t="s">
        <v>19</v>
      </c>
      <c r="C6" s="2" t="s">
        <v>42</v>
      </c>
      <c r="D6" s="2" t="s">
        <v>35</v>
      </c>
      <c r="E6" s="2" t="s">
        <v>23</v>
      </c>
      <c r="F6" s="2" t="s">
        <v>43</v>
      </c>
      <c r="G6" s="2" t="s">
        <v>54</v>
      </c>
      <c r="H6" s="2" t="s">
        <v>55</v>
      </c>
      <c r="I6" s="2" t="s">
        <v>26</v>
      </c>
      <c r="J6" s="2" t="s">
        <v>56</v>
      </c>
      <c r="K6" s="2" t="s">
        <v>57</v>
      </c>
      <c r="L6" s="2" t="s">
        <v>58</v>
      </c>
      <c r="M6" s="2" t="s">
        <v>30</v>
      </c>
      <c r="N6" s="2" t="s">
        <v>31</v>
      </c>
      <c r="O6" s="2"/>
      <c r="P6" s="2" t="s">
        <v>32</v>
      </c>
      <c r="Q6" s="2" t="s">
        <v>43</v>
      </c>
      <c r="R6" s="2" t="s">
        <v>33</v>
      </c>
    </row>
    <row r="7" customFormat="false" ht="72" hidden="false" customHeight="true" outlineLevel="0" collapsed="false">
      <c r="A7" s="2" t="s">
        <v>59</v>
      </c>
      <c r="B7" s="2" t="s">
        <v>19</v>
      </c>
      <c r="C7" s="2" t="s">
        <v>42</v>
      </c>
      <c r="D7" s="2" t="s">
        <v>35</v>
      </c>
      <c r="E7" s="2" t="s">
        <v>23</v>
      </c>
      <c r="F7" s="2" t="s">
        <v>43</v>
      </c>
      <c r="G7" s="2" t="s">
        <v>54</v>
      </c>
      <c r="H7" s="2" t="s">
        <v>60</v>
      </c>
      <c r="I7" s="2" t="s">
        <v>26</v>
      </c>
      <c r="J7" s="2" t="s">
        <v>61</v>
      </c>
      <c r="K7" s="2" t="s">
        <v>62</v>
      </c>
      <c r="L7" s="2" t="s">
        <v>58</v>
      </c>
      <c r="M7" s="2" t="s">
        <v>30</v>
      </c>
      <c r="N7" s="2" t="s">
        <v>31</v>
      </c>
      <c r="O7" s="2"/>
      <c r="P7" s="2" t="s">
        <v>32</v>
      </c>
      <c r="Q7" s="2" t="s">
        <v>43</v>
      </c>
      <c r="R7" s="2" t="s">
        <v>33</v>
      </c>
    </row>
    <row r="8" customFormat="false" ht="72" hidden="false" customHeight="true" outlineLevel="0" collapsed="false">
      <c r="A8" s="2" t="s">
        <v>63</v>
      </c>
      <c r="B8" s="2" t="s">
        <v>19</v>
      </c>
      <c r="C8" s="2" t="s">
        <v>42</v>
      </c>
      <c r="D8" s="2" t="s">
        <v>64</v>
      </c>
      <c r="E8" s="2" t="s">
        <v>43</v>
      </c>
      <c r="F8" s="2" t="s">
        <v>65</v>
      </c>
      <c r="G8" s="2" t="s">
        <v>66</v>
      </c>
      <c r="H8" s="2" t="s">
        <v>67</v>
      </c>
      <c r="I8" s="2" t="s">
        <v>26</v>
      </c>
      <c r="J8" s="2" t="s">
        <v>68</v>
      </c>
      <c r="K8" s="2" t="s">
        <v>69</v>
      </c>
      <c r="L8" s="2" t="s">
        <v>70</v>
      </c>
      <c r="M8" s="2" t="s">
        <v>71</v>
      </c>
      <c r="N8" s="2"/>
      <c r="O8" s="2"/>
      <c r="P8" s="2" t="s">
        <v>72</v>
      </c>
      <c r="Q8" s="2" t="s">
        <v>65</v>
      </c>
      <c r="R8" s="2"/>
    </row>
    <row r="9" customFormat="false" ht="72" hidden="false" customHeight="true" outlineLevel="0" collapsed="false">
      <c r="A9" s="2" t="s">
        <v>73</v>
      </c>
      <c r="B9" s="2" t="s">
        <v>19</v>
      </c>
      <c r="C9" s="2" t="s">
        <v>42</v>
      </c>
      <c r="D9" s="2" t="s">
        <v>64</v>
      </c>
      <c r="E9" s="2" t="s">
        <v>43</v>
      </c>
      <c r="F9" s="2" t="s">
        <v>65</v>
      </c>
      <c r="G9" s="2" t="s">
        <v>66</v>
      </c>
      <c r="H9" s="2" t="s">
        <v>74</v>
      </c>
      <c r="I9" s="2" t="s">
        <v>26</v>
      </c>
      <c r="J9" s="2" t="s">
        <v>75</v>
      </c>
      <c r="K9" s="2" t="s">
        <v>76</v>
      </c>
      <c r="L9" s="2" t="s">
        <v>77</v>
      </c>
      <c r="M9" s="2" t="s">
        <v>30</v>
      </c>
      <c r="N9" s="2" t="s">
        <v>31</v>
      </c>
      <c r="O9" s="2"/>
      <c r="P9" s="2" t="s">
        <v>32</v>
      </c>
      <c r="Q9" s="2" t="s">
        <v>65</v>
      </c>
      <c r="R9" s="2" t="s">
        <v>33</v>
      </c>
    </row>
    <row r="10" customFormat="false" ht="72" hidden="false" customHeight="true" outlineLevel="0" collapsed="false">
      <c r="A10" s="2" t="s">
        <v>78</v>
      </c>
      <c r="B10" s="2" t="s">
        <v>19</v>
      </c>
      <c r="C10" s="2" t="s">
        <v>79</v>
      </c>
      <c r="D10" s="2" t="s">
        <v>80</v>
      </c>
      <c r="E10" s="2" t="s">
        <v>43</v>
      </c>
      <c r="F10" s="2" t="s">
        <v>65</v>
      </c>
      <c r="G10" s="2" t="s">
        <v>81</v>
      </c>
      <c r="H10" s="2" t="s">
        <v>82</v>
      </c>
      <c r="I10" s="2" t="s">
        <v>26</v>
      </c>
      <c r="J10" s="2" t="s">
        <v>83</v>
      </c>
      <c r="K10" s="2" t="s">
        <v>84</v>
      </c>
      <c r="L10" s="2" t="s">
        <v>85</v>
      </c>
      <c r="M10" s="2" t="s">
        <v>71</v>
      </c>
      <c r="N10" s="2"/>
      <c r="O10" s="2"/>
      <c r="P10" s="2" t="s">
        <v>86</v>
      </c>
      <c r="Q10" s="2" t="s">
        <v>83</v>
      </c>
      <c r="R10" s="2"/>
    </row>
    <row r="11" customFormat="false" ht="72" hidden="false" customHeight="true" outlineLevel="0" collapsed="false">
      <c r="A11" s="2" t="s">
        <v>87</v>
      </c>
      <c r="B11" s="2" t="s">
        <v>19</v>
      </c>
      <c r="C11" s="2" t="s">
        <v>79</v>
      </c>
      <c r="D11" s="2" t="s">
        <v>80</v>
      </c>
      <c r="E11" s="2" t="s">
        <v>43</v>
      </c>
      <c r="F11" s="2" t="s">
        <v>65</v>
      </c>
      <c r="G11" s="2" t="s">
        <v>81</v>
      </c>
      <c r="H11" s="2" t="s">
        <v>88</v>
      </c>
      <c r="I11" s="2" t="s">
        <v>26</v>
      </c>
      <c r="J11" s="2" t="s">
        <v>83</v>
      </c>
      <c r="K11" s="2" t="s">
        <v>89</v>
      </c>
      <c r="L11" s="2" t="s">
        <v>90</v>
      </c>
      <c r="M11" s="2" t="s">
        <v>30</v>
      </c>
      <c r="N11" s="2" t="s">
        <v>31</v>
      </c>
      <c r="O11" s="2"/>
      <c r="P11" s="2" t="s">
        <v>32</v>
      </c>
      <c r="Q11" s="2" t="s">
        <v>65</v>
      </c>
      <c r="R11" s="2" t="s">
        <v>33</v>
      </c>
    </row>
    <row r="12" customFormat="false" ht="72" hidden="false" customHeight="true" outlineLevel="0" collapsed="false">
      <c r="A12" s="2" t="s">
        <v>91</v>
      </c>
      <c r="B12" s="2" t="s">
        <v>19</v>
      </c>
      <c r="C12" s="2" t="s">
        <v>92</v>
      </c>
      <c r="D12" s="2" t="s">
        <v>21</v>
      </c>
      <c r="E12" s="2" t="s">
        <v>23</v>
      </c>
      <c r="F12" s="2" t="s">
        <v>43</v>
      </c>
      <c r="G12" s="2" t="s">
        <v>93</v>
      </c>
      <c r="H12" s="2" t="s">
        <v>94</v>
      </c>
      <c r="I12" s="2" t="s">
        <v>26</v>
      </c>
      <c r="J12" s="2" t="s">
        <v>27</v>
      </c>
      <c r="K12" s="2" t="s">
        <v>95</v>
      </c>
      <c r="L12" s="2" t="s">
        <v>96</v>
      </c>
      <c r="M12" s="2" t="s">
        <v>71</v>
      </c>
      <c r="N12" s="2"/>
      <c r="O12" s="2"/>
      <c r="P12" s="2" t="s">
        <v>72</v>
      </c>
      <c r="Q12" s="2" t="s">
        <v>43</v>
      </c>
      <c r="R12" s="2"/>
    </row>
    <row r="13" customFormat="false" ht="72" hidden="false" customHeight="true" outlineLevel="0" collapsed="false">
      <c r="A13" s="2" t="s">
        <v>97</v>
      </c>
      <c r="B13" s="2" t="s">
        <v>19</v>
      </c>
      <c r="C13" s="2" t="s">
        <v>92</v>
      </c>
      <c r="D13" s="2" t="s">
        <v>64</v>
      </c>
      <c r="E13" s="2" t="s">
        <v>43</v>
      </c>
      <c r="F13" s="2" t="s">
        <v>65</v>
      </c>
      <c r="G13" s="2" t="s">
        <v>66</v>
      </c>
      <c r="H13" s="2" t="s">
        <v>98</v>
      </c>
      <c r="I13" s="2" t="s">
        <v>26</v>
      </c>
      <c r="J13" s="2" t="s">
        <v>83</v>
      </c>
      <c r="K13" s="2" t="s">
        <v>99</v>
      </c>
      <c r="L13" s="2" t="s">
        <v>100</v>
      </c>
      <c r="M13" s="2" t="s">
        <v>71</v>
      </c>
      <c r="N13" s="2"/>
      <c r="O13" s="2"/>
      <c r="P13" s="2" t="s">
        <v>86</v>
      </c>
      <c r="Q13" s="2" t="s">
        <v>83</v>
      </c>
      <c r="R13" s="2"/>
    </row>
    <row r="14" customFormat="false" ht="72" hidden="false" customHeight="true" outlineLevel="0" collapsed="false">
      <c r="A14" s="2" t="s">
        <v>101</v>
      </c>
      <c r="B14" s="2" t="s">
        <v>19</v>
      </c>
      <c r="C14" s="2" t="s">
        <v>20</v>
      </c>
      <c r="D14" s="2" t="s">
        <v>21</v>
      </c>
      <c r="E14" s="2" t="s">
        <v>23</v>
      </c>
      <c r="F14" s="2" t="s">
        <v>43</v>
      </c>
      <c r="G14" s="2" t="s">
        <v>102</v>
      </c>
      <c r="H14" s="2" t="s">
        <v>103</v>
      </c>
      <c r="I14" s="2" t="s">
        <v>26</v>
      </c>
      <c r="J14" s="2" t="s">
        <v>104</v>
      </c>
      <c r="K14" s="2" t="s">
        <v>105</v>
      </c>
      <c r="L14" s="2" t="s">
        <v>106</v>
      </c>
      <c r="M14" s="2" t="s">
        <v>30</v>
      </c>
      <c r="N14" s="2" t="s">
        <v>31</v>
      </c>
      <c r="O14" s="2"/>
      <c r="P14" s="2" t="s">
        <v>32</v>
      </c>
      <c r="Q14" s="2" t="s">
        <v>43</v>
      </c>
      <c r="R14" s="2" t="s">
        <v>33</v>
      </c>
    </row>
    <row r="15" customFormat="false" ht="72" hidden="false" customHeight="true" outlineLevel="0" collapsed="false">
      <c r="A15" s="2" t="s">
        <v>107</v>
      </c>
      <c r="B15" s="2" t="s">
        <v>19</v>
      </c>
      <c r="C15" s="2" t="s">
        <v>20</v>
      </c>
      <c r="D15" s="2" t="s">
        <v>21</v>
      </c>
      <c r="E15" s="2" t="s">
        <v>23</v>
      </c>
      <c r="F15" s="2" t="s">
        <v>43</v>
      </c>
      <c r="G15" s="2" t="s">
        <v>108</v>
      </c>
      <c r="H15" s="2" t="s">
        <v>109</v>
      </c>
      <c r="I15" s="2" t="s">
        <v>26</v>
      </c>
      <c r="J15" s="2" t="s">
        <v>110</v>
      </c>
      <c r="K15" s="2" t="s">
        <v>111</v>
      </c>
      <c r="L15" s="2" t="s">
        <v>112</v>
      </c>
      <c r="M15" s="2" t="s">
        <v>30</v>
      </c>
      <c r="N15" s="2" t="s">
        <v>31</v>
      </c>
      <c r="O15" s="2"/>
      <c r="P15" s="2" t="s">
        <v>32</v>
      </c>
      <c r="Q15" s="2" t="s">
        <v>43</v>
      </c>
      <c r="R15" s="2" t="s">
        <v>33</v>
      </c>
    </row>
    <row r="16" customFormat="false" ht="72" hidden="false" customHeight="true" outlineLevel="0" collapsed="false">
      <c r="A16" s="2" t="s">
        <v>113</v>
      </c>
      <c r="B16" s="2" t="s">
        <v>19</v>
      </c>
      <c r="C16" s="2" t="s">
        <v>20</v>
      </c>
      <c r="D16" s="2" t="s">
        <v>21</v>
      </c>
      <c r="E16" s="2" t="s">
        <v>43</v>
      </c>
      <c r="F16" s="2" t="s">
        <v>43</v>
      </c>
      <c r="G16" s="2" t="s">
        <v>102</v>
      </c>
      <c r="H16" s="2" t="s">
        <v>114</v>
      </c>
      <c r="I16" s="2" t="s">
        <v>26</v>
      </c>
      <c r="J16" s="2" t="s">
        <v>115</v>
      </c>
      <c r="K16" s="2" t="s">
        <v>116</v>
      </c>
      <c r="L16" s="2" t="s">
        <v>117</v>
      </c>
      <c r="M16" s="2" t="s">
        <v>71</v>
      </c>
      <c r="N16" s="2"/>
      <c r="O16" s="2"/>
      <c r="P16" s="2" t="s">
        <v>72</v>
      </c>
      <c r="Q16" s="2" t="s">
        <v>43</v>
      </c>
      <c r="R16" s="2"/>
    </row>
    <row r="17" customFormat="false" ht="72" hidden="false" customHeight="true" outlineLevel="0" collapsed="false">
      <c r="A17" s="2" t="s">
        <v>118</v>
      </c>
      <c r="B17" s="2" t="s">
        <v>19</v>
      </c>
      <c r="C17" s="2" t="s">
        <v>20</v>
      </c>
      <c r="D17" s="2" t="s">
        <v>21</v>
      </c>
      <c r="E17" s="2" t="s">
        <v>43</v>
      </c>
      <c r="F17" s="2" t="s">
        <v>43</v>
      </c>
      <c r="G17" s="2" t="s">
        <v>119</v>
      </c>
      <c r="H17" s="2" t="s">
        <v>120</v>
      </c>
      <c r="I17" s="2" t="s">
        <v>26</v>
      </c>
      <c r="J17" s="2" t="s">
        <v>121</v>
      </c>
      <c r="K17" s="2" t="s">
        <v>122</v>
      </c>
      <c r="L17" s="2" t="s">
        <v>123</v>
      </c>
      <c r="M17" s="2" t="s">
        <v>71</v>
      </c>
      <c r="N17" s="2"/>
      <c r="O17" s="2"/>
      <c r="P17" s="2" t="s">
        <v>72</v>
      </c>
      <c r="Q17" s="2" t="s">
        <v>65</v>
      </c>
      <c r="R17" s="2"/>
    </row>
    <row r="18" customFormat="false" ht="72" hidden="false" customHeight="true" outlineLevel="0" collapsed="false">
      <c r="A18" s="2" t="s">
        <v>124</v>
      </c>
      <c r="B18" s="2" t="s">
        <v>125</v>
      </c>
      <c r="C18" s="2" t="s">
        <v>126</v>
      </c>
      <c r="D18" s="2" t="s">
        <v>21</v>
      </c>
      <c r="E18" s="2" t="s">
        <v>22</v>
      </c>
      <c r="F18" s="2" t="s">
        <v>23</v>
      </c>
      <c r="G18" s="2" t="s">
        <v>127</v>
      </c>
      <c r="H18" s="2" t="s">
        <v>128</v>
      </c>
      <c r="I18" s="2" t="s">
        <v>129</v>
      </c>
      <c r="J18" s="2" t="s">
        <v>27</v>
      </c>
      <c r="K18" s="2" t="s">
        <v>130</v>
      </c>
      <c r="L18" s="2" t="s">
        <v>131</v>
      </c>
      <c r="M18" s="2" t="s">
        <v>30</v>
      </c>
      <c r="N18" s="2" t="s">
        <v>31</v>
      </c>
      <c r="O18" s="2"/>
      <c r="P18" s="2" t="s">
        <v>32</v>
      </c>
      <c r="Q18" s="2" t="s">
        <v>23</v>
      </c>
      <c r="R18" s="2" t="s">
        <v>33</v>
      </c>
    </row>
    <row r="19" customFormat="false" ht="72" hidden="false" customHeight="true" outlineLevel="0" collapsed="false">
      <c r="A19" s="2" t="s">
        <v>132</v>
      </c>
      <c r="B19" s="2" t="s">
        <v>125</v>
      </c>
      <c r="C19" s="2" t="s">
        <v>133</v>
      </c>
      <c r="D19" s="2" t="s">
        <v>21</v>
      </c>
      <c r="E19" s="2" t="s">
        <v>23</v>
      </c>
      <c r="F19" s="2" t="s">
        <v>23</v>
      </c>
      <c r="G19" s="2" t="s">
        <v>127</v>
      </c>
      <c r="H19" s="2" t="s">
        <v>134</v>
      </c>
      <c r="I19" s="2" t="s">
        <v>129</v>
      </c>
      <c r="J19" s="2" t="s">
        <v>135</v>
      </c>
      <c r="K19" s="2" t="s">
        <v>136</v>
      </c>
      <c r="L19" s="2" t="s">
        <v>137</v>
      </c>
      <c r="M19" s="2" t="s">
        <v>30</v>
      </c>
      <c r="N19" s="2" t="s">
        <v>31</v>
      </c>
      <c r="O19" s="2"/>
      <c r="P19" s="2" t="s">
        <v>32</v>
      </c>
      <c r="Q19" s="2" t="s">
        <v>23</v>
      </c>
      <c r="R19" s="2" t="s">
        <v>33</v>
      </c>
    </row>
    <row r="20" customFormat="false" ht="72" hidden="false" customHeight="true" outlineLevel="0" collapsed="false">
      <c r="A20" s="2" t="s">
        <v>138</v>
      </c>
      <c r="B20" s="2" t="s">
        <v>125</v>
      </c>
      <c r="C20" s="2" t="s">
        <v>139</v>
      </c>
      <c r="D20" s="2" t="s">
        <v>21</v>
      </c>
      <c r="E20" s="2" t="s">
        <v>23</v>
      </c>
      <c r="F20" s="2" t="s">
        <v>43</v>
      </c>
      <c r="G20" s="2" t="s">
        <v>140</v>
      </c>
      <c r="H20" s="2" t="s">
        <v>141</v>
      </c>
      <c r="I20" s="2" t="s">
        <v>129</v>
      </c>
      <c r="J20" s="2" t="s">
        <v>142</v>
      </c>
      <c r="K20" s="2" t="s">
        <v>143</v>
      </c>
      <c r="L20" s="2" t="s">
        <v>144</v>
      </c>
      <c r="M20" s="2" t="s">
        <v>30</v>
      </c>
      <c r="N20" s="2" t="s">
        <v>31</v>
      </c>
      <c r="O20" s="2"/>
      <c r="P20" s="2" t="s">
        <v>32</v>
      </c>
      <c r="Q20" s="2" t="s">
        <v>43</v>
      </c>
      <c r="R20" s="2" t="s">
        <v>33</v>
      </c>
    </row>
    <row r="21" customFormat="false" ht="72" hidden="false" customHeight="true" outlineLevel="0" collapsed="false">
      <c r="A21" s="2" t="s">
        <v>145</v>
      </c>
      <c r="B21" s="2" t="s">
        <v>125</v>
      </c>
      <c r="C21" s="2" t="s">
        <v>139</v>
      </c>
      <c r="D21" s="2" t="s">
        <v>21</v>
      </c>
      <c r="E21" s="2" t="s">
        <v>23</v>
      </c>
      <c r="F21" s="2" t="s">
        <v>43</v>
      </c>
      <c r="G21" s="2" t="s">
        <v>140</v>
      </c>
      <c r="H21" s="2" t="s">
        <v>146</v>
      </c>
      <c r="I21" s="2" t="s">
        <v>129</v>
      </c>
      <c r="J21" s="2" t="s">
        <v>147</v>
      </c>
      <c r="K21" s="2" t="s">
        <v>148</v>
      </c>
      <c r="L21" s="2" t="s">
        <v>149</v>
      </c>
      <c r="M21" s="2" t="s">
        <v>30</v>
      </c>
      <c r="N21" s="2" t="s">
        <v>31</v>
      </c>
      <c r="O21" s="2"/>
      <c r="P21" s="2" t="s">
        <v>32</v>
      </c>
      <c r="Q21" s="2" t="s">
        <v>43</v>
      </c>
      <c r="R21" s="2" t="s">
        <v>33</v>
      </c>
    </row>
    <row r="22" customFormat="false" ht="72" hidden="false" customHeight="true" outlineLevel="0" collapsed="false">
      <c r="A22" s="2" t="s">
        <v>150</v>
      </c>
      <c r="B22" s="2" t="s">
        <v>125</v>
      </c>
      <c r="C22" s="2" t="s">
        <v>151</v>
      </c>
      <c r="D22" s="2" t="s">
        <v>80</v>
      </c>
      <c r="E22" s="2" t="s">
        <v>43</v>
      </c>
      <c r="F22" s="2" t="s">
        <v>65</v>
      </c>
      <c r="G22" s="2" t="s">
        <v>152</v>
      </c>
      <c r="H22" s="2" t="s">
        <v>153</v>
      </c>
      <c r="I22" s="2" t="s">
        <v>129</v>
      </c>
      <c r="J22" s="2" t="s">
        <v>83</v>
      </c>
      <c r="K22" s="2" t="s">
        <v>154</v>
      </c>
      <c r="L22" s="2" t="s">
        <v>155</v>
      </c>
      <c r="M22" s="2" t="s">
        <v>71</v>
      </c>
      <c r="N22" s="2"/>
      <c r="O22" s="2"/>
      <c r="P22" s="2" t="s">
        <v>72</v>
      </c>
      <c r="Q22" s="2" t="s">
        <v>65</v>
      </c>
      <c r="R22" s="2"/>
    </row>
    <row r="23" customFormat="false" ht="72" hidden="false" customHeight="true" outlineLevel="0" collapsed="false">
      <c r="A23" s="2" t="s">
        <v>156</v>
      </c>
      <c r="B23" s="2" t="s">
        <v>125</v>
      </c>
      <c r="C23" s="2" t="s">
        <v>157</v>
      </c>
      <c r="D23" s="2" t="s">
        <v>21</v>
      </c>
      <c r="E23" s="2" t="s">
        <v>22</v>
      </c>
      <c r="F23" s="2" t="s">
        <v>23</v>
      </c>
      <c r="G23" s="2" t="s">
        <v>158</v>
      </c>
      <c r="H23" s="2" t="s">
        <v>159</v>
      </c>
      <c r="I23" s="2" t="s">
        <v>129</v>
      </c>
      <c r="J23" s="2" t="s">
        <v>160</v>
      </c>
      <c r="K23" s="2" t="s">
        <v>161</v>
      </c>
      <c r="L23" s="2" t="s">
        <v>162</v>
      </c>
      <c r="M23" s="2" t="s">
        <v>30</v>
      </c>
      <c r="N23" s="2" t="s">
        <v>31</v>
      </c>
      <c r="O23" s="2"/>
      <c r="P23" s="2" t="s">
        <v>32</v>
      </c>
      <c r="Q23" s="2" t="s">
        <v>23</v>
      </c>
      <c r="R23" s="2" t="s">
        <v>33</v>
      </c>
    </row>
    <row r="24" customFormat="false" ht="72" hidden="false" customHeight="true" outlineLevel="0" collapsed="false">
      <c r="A24" s="2" t="s">
        <v>163</v>
      </c>
      <c r="B24" s="2" t="s">
        <v>125</v>
      </c>
      <c r="C24" s="2" t="s">
        <v>157</v>
      </c>
      <c r="D24" s="2" t="s">
        <v>21</v>
      </c>
      <c r="E24" s="2" t="s">
        <v>23</v>
      </c>
      <c r="F24" s="2" t="s">
        <v>23</v>
      </c>
      <c r="G24" s="2" t="s">
        <v>164</v>
      </c>
      <c r="H24" s="2" t="s">
        <v>165</v>
      </c>
      <c r="I24" s="2" t="s">
        <v>129</v>
      </c>
      <c r="J24" s="2" t="s">
        <v>166</v>
      </c>
      <c r="K24" s="2" t="s">
        <v>167</v>
      </c>
      <c r="L24" s="2" t="s">
        <v>168</v>
      </c>
      <c r="M24" s="2" t="s">
        <v>30</v>
      </c>
      <c r="N24" s="2" t="s">
        <v>31</v>
      </c>
      <c r="O24" s="2"/>
      <c r="P24" s="2" t="s">
        <v>32</v>
      </c>
      <c r="Q24" s="2" t="s">
        <v>23</v>
      </c>
      <c r="R24" s="2" t="s">
        <v>33</v>
      </c>
    </row>
    <row r="25" customFormat="false" ht="72" hidden="false" customHeight="true" outlineLevel="0" collapsed="false">
      <c r="A25" s="2" t="s">
        <v>169</v>
      </c>
      <c r="B25" s="2" t="s">
        <v>125</v>
      </c>
      <c r="C25" s="2" t="s">
        <v>170</v>
      </c>
      <c r="D25" s="2" t="s">
        <v>21</v>
      </c>
      <c r="E25" s="2" t="s">
        <v>23</v>
      </c>
      <c r="F25" s="2" t="s">
        <v>43</v>
      </c>
      <c r="G25" s="2" t="s">
        <v>171</v>
      </c>
      <c r="H25" s="2" t="s">
        <v>172</v>
      </c>
      <c r="I25" s="2" t="s">
        <v>129</v>
      </c>
      <c r="J25" s="2" t="s">
        <v>160</v>
      </c>
      <c r="K25" s="2" t="s">
        <v>173</v>
      </c>
      <c r="L25" s="2" t="s">
        <v>174</v>
      </c>
      <c r="M25" s="2" t="s">
        <v>30</v>
      </c>
      <c r="N25" s="2" t="s">
        <v>31</v>
      </c>
      <c r="O25" s="2"/>
      <c r="P25" s="2" t="s">
        <v>32</v>
      </c>
      <c r="Q25" s="2" t="s">
        <v>23</v>
      </c>
      <c r="R25" s="2" t="s">
        <v>33</v>
      </c>
    </row>
    <row r="26" customFormat="false" ht="72" hidden="false" customHeight="true" outlineLevel="0" collapsed="false">
      <c r="A26" s="2" t="s">
        <v>175</v>
      </c>
      <c r="B26" s="2" t="s">
        <v>125</v>
      </c>
      <c r="C26" s="2" t="s">
        <v>176</v>
      </c>
      <c r="D26" s="2" t="s">
        <v>64</v>
      </c>
      <c r="E26" s="2" t="s">
        <v>23</v>
      </c>
      <c r="F26" s="2" t="s">
        <v>43</v>
      </c>
      <c r="G26" s="2" t="s">
        <v>177</v>
      </c>
      <c r="H26" s="2" t="s">
        <v>178</v>
      </c>
      <c r="I26" s="2" t="s">
        <v>129</v>
      </c>
      <c r="J26" s="2" t="s">
        <v>166</v>
      </c>
      <c r="K26" s="2" t="s">
        <v>179</v>
      </c>
      <c r="L26" s="2" t="s">
        <v>180</v>
      </c>
      <c r="M26" s="2" t="s">
        <v>30</v>
      </c>
      <c r="N26" s="2" t="s">
        <v>31</v>
      </c>
      <c r="O26" s="2"/>
      <c r="P26" s="2" t="s">
        <v>32</v>
      </c>
      <c r="Q26" s="2" t="s">
        <v>43</v>
      </c>
      <c r="R26" s="2" t="s">
        <v>33</v>
      </c>
    </row>
    <row r="27" customFormat="false" ht="72" hidden="false" customHeight="true" outlineLevel="0" collapsed="false">
      <c r="A27" s="2" t="s">
        <v>181</v>
      </c>
      <c r="B27" s="2" t="s">
        <v>125</v>
      </c>
      <c r="C27" s="2" t="s">
        <v>182</v>
      </c>
      <c r="D27" s="2" t="s">
        <v>21</v>
      </c>
      <c r="E27" s="2" t="s">
        <v>23</v>
      </c>
      <c r="F27" s="2" t="s">
        <v>43</v>
      </c>
      <c r="G27" s="2" t="s">
        <v>183</v>
      </c>
      <c r="H27" s="2" t="s">
        <v>184</v>
      </c>
      <c r="I27" s="2" t="s">
        <v>129</v>
      </c>
      <c r="J27" s="2" t="s">
        <v>185</v>
      </c>
      <c r="K27" s="2" t="s">
        <v>186</v>
      </c>
      <c r="L27" s="2" t="s">
        <v>187</v>
      </c>
      <c r="M27" s="2" t="s">
        <v>30</v>
      </c>
      <c r="N27" s="2" t="s">
        <v>31</v>
      </c>
      <c r="O27" s="2"/>
      <c r="P27" s="2" t="s">
        <v>32</v>
      </c>
      <c r="Q27" s="2" t="s">
        <v>23</v>
      </c>
      <c r="R27" s="2" t="s">
        <v>33</v>
      </c>
    </row>
    <row r="28" customFormat="false" ht="72" hidden="false" customHeight="true" outlineLevel="0" collapsed="false">
      <c r="A28" s="2" t="s">
        <v>188</v>
      </c>
      <c r="B28" s="2" t="s">
        <v>125</v>
      </c>
      <c r="C28" s="2" t="s">
        <v>182</v>
      </c>
      <c r="D28" s="2" t="s">
        <v>21</v>
      </c>
      <c r="E28" s="2" t="s">
        <v>23</v>
      </c>
      <c r="F28" s="2" t="s">
        <v>43</v>
      </c>
      <c r="G28" s="2" t="s">
        <v>183</v>
      </c>
      <c r="H28" s="2" t="s">
        <v>189</v>
      </c>
      <c r="I28" s="2" t="s">
        <v>129</v>
      </c>
      <c r="J28" s="2" t="s">
        <v>190</v>
      </c>
      <c r="K28" s="2" t="s">
        <v>191</v>
      </c>
      <c r="L28" s="2" t="s">
        <v>192</v>
      </c>
      <c r="M28" s="2" t="s">
        <v>30</v>
      </c>
      <c r="N28" s="2" t="s">
        <v>31</v>
      </c>
      <c r="O28" s="2"/>
      <c r="P28" s="2" t="s">
        <v>32</v>
      </c>
      <c r="Q28" s="2" t="s">
        <v>23</v>
      </c>
      <c r="R28" s="2" t="s">
        <v>33</v>
      </c>
    </row>
    <row r="29" customFormat="false" ht="72" hidden="false" customHeight="true" outlineLevel="0" collapsed="false">
      <c r="A29" s="2" t="s">
        <v>193</v>
      </c>
      <c r="B29" s="2" t="s">
        <v>125</v>
      </c>
      <c r="C29" s="2" t="s">
        <v>182</v>
      </c>
      <c r="D29" s="2" t="s">
        <v>21</v>
      </c>
      <c r="E29" s="2" t="s">
        <v>23</v>
      </c>
      <c r="F29" s="2" t="s">
        <v>43</v>
      </c>
      <c r="G29" s="2" t="s">
        <v>183</v>
      </c>
      <c r="H29" s="2" t="s">
        <v>194</v>
      </c>
      <c r="I29" s="2" t="s">
        <v>129</v>
      </c>
      <c r="J29" s="2" t="s">
        <v>195</v>
      </c>
      <c r="K29" s="2" t="s">
        <v>196</v>
      </c>
      <c r="L29" s="2" t="s">
        <v>197</v>
      </c>
      <c r="M29" s="2" t="s">
        <v>30</v>
      </c>
      <c r="N29" s="2" t="s">
        <v>31</v>
      </c>
      <c r="O29" s="2"/>
      <c r="P29" s="2" t="s">
        <v>32</v>
      </c>
      <c r="Q29" s="2" t="s">
        <v>23</v>
      </c>
      <c r="R29" s="2" t="s">
        <v>33</v>
      </c>
    </row>
    <row r="30" customFormat="false" ht="72" hidden="false" customHeight="true" outlineLevel="0" collapsed="false">
      <c r="A30" s="2" t="s">
        <v>198</v>
      </c>
      <c r="B30" s="2" t="s">
        <v>125</v>
      </c>
      <c r="C30" s="2" t="s">
        <v>182</v>
      </c>
      <c r="D30" s="2" t="s">
        <v>21</v>
      </c>
      <c r="E30" s="2" t="s">
        <v>23</v>
      </c>
      <c r="F30" s="2" t="s">
        <v>43</v>
      </c>
      <c r="G30" s="2" t="s">
        <v>183</v>
      </c>
      <c r="H30" s="2" t="s">
        <v>199</v>
      </c>
      <c r="I30" s="2" t="s">
        <v>129</v>
      </c>
      <c r="J30" s="2" t="s">
        <v>200</v>
      </c>
      <c r="K30" s="2" t="s">
        <v>201</v>
      </c>
      <c r="L30" s="2" t="s">
        <v>202</v>
      </c>
      <c r="M30" s="2" t="s">
        <v>30</v>
      </c>
      <c r="N30" s="2" t="s">
        <v>31</v>
      </c>
      <c r="O30" s="2"/>
      <c r="P30" s="2" t="s">
        <v>32</v>
      </c>
      <c r="Q30" s="2" t="s">
        <v>23</v>
      </c>
      <c r="R30" s="2" t="s">
        <v>33</v>
      </c>
    </row>
    <row r="31" customFormat="false" ht="72" hidden="false" customHeight="true" outlineLevel="0" collapsed="false">
      <c r="A31" s="2" t="s">
        <v>203</v>
      </c>
      <c r="B31" s="2" t="s">
        <v>125</v>
      </c>
      <c r="C31" s="2" t="s">
        <v>182</v>
      </c>
      <c r="D31" s="2" t="s">
        <v>64</v>
      </c>
      <c r="E31" s="2" t="s">
        <v>43</v>
      </c>
      <c r="F31" s="2" t="s">
        <v>65</v>
      </c>
      <c r="G31" s="2" t="s">
        <v>204</v>
      </c>
      <c r="H31" s="2" t="s">
        <v>205</v>
      </c>
      <c r="I31" s="2" t="s">
        <v>129</v>
      </c>
      <c r="J31" s="2" t="s">
        <v>206</v>
      </c>
      <c r="K31" s="2" t="s">
        <v>207</v>
      </c>
      <c r="L31" s="2" t="s">
        <v>208</v>
      </c>
      <c r="M31" s="2" t="s">
        <v>30</v>
      </c>
      <c r="N31" s="2" t="s">
        <v>31</v>
      </c>
      <c r="O31" s="2"/>
      <c r="P31" s="2" t="s">
        <v>32</v>
      </c>
      <c r="Q31" s="2" t="s">
        <v>43</v>
      </c>
      <c r="R31" s="2" t="s">
        <v>33</v>
      </c>
    </row>
    <row r="32" customFormat="false" ht="72" hidden="false" customHeight="true" outlineLevel="0" collapsed="false">
      <c r="A32" s="2" t="s">
        <v>209</v>
      </c>
      <c r="B32" s="2" t="s">
        <v>125</v>
      </c>
      <c r="C32" s="2" t="s">
        <v>210</v>
      </c>
      <c r="D32" s="2" t="s">
        <v>21</v>
      </c>
      <c r="E32" s="2" t="s">
        <v>23</v>
      </c>
      <c r="F32" s="2" t="s">
        <v>43</v>
      </c>
      <c r="G32" s="2" t="s">
        <v>211</v>
      </c>
      <c r="H32" s="2" t="s">
        <v>212</v>
      </c>
      <c r="I32" s="2" t="s">
        <v>129</v>
      </c>
      <c r="J32" s="2" t="s">
        <v>160</v>
      </c>
      <c r="K32" s="2" t="s">
        <v>213</v>
      </c>
      <c r="L32" s="2" t="s">
        <v>214</v>
      </c>
      <c r="M32" s="2" t="s">
        <v>30</v>
      </c>
      <c r="N32" s="2" t="s">
        <v>31</v>
      </c>
      <c r="O32" s="2"/>
      <c r="P32" s="2" t="s">
        <v>32</v>
      </c>
      <c r="Q32" s="2" t="s">
        <v>43</v>
      </c>
      <c r="R32" s="2" t="s">
        <v>33</v>
      </c>
    </row>
    <row r="33" customFormat="false" ht="72" hidden="false" customHeight="true" outlineLevel="0" collapsed="false">
      <c r="A33" s="2" t="s">
        <v>215</v>
      </c>
      <c r="B33" s="2" t="s">
        <v>125</v>
      </c>
      <c r="C33" s="2" t="s">
        <v>210</v>
      </c>
      <c r="D33" s="2" t="s">
        <v>21</v>
      </c>
      <c r="E33" s="2" t="s">
        <v>43</v>
      </c>
      <c r="F33" s="2" t="s">
        <v>65</v>
      </c>
      <c r="G33" s="2" t="s">
        <v>211</v>
      </c>
      <c r="H33" s="2" t="s">
        <v>216</v>
      </c>
      <c r="I33" s="2" t="s">
        <v>129</v>
      </c>
      <c r="J33" s="2" t="s">
        <v>217</v>
      </c>
      <c r="K33" s="2" t="s">
        <v>218</v>
      </c>
      <c r="L33" s="2" t="s">
        <v>219</v>
      </c>
      <c r="M33" s="2" t="s">
        <v>71</v>
      </c>
      <c r="N33" s="2"/>
      <c r="O33" s="2"/>
      <c r="P33" s="2" t="s">
        <v>72</v>
      </c>
      <c r="Q33" s="2" t="s">
        <v>65</v>
      </c>
      <c r="R33" s="2"/>
    </row>
    <row r="34" customFormat="false" ht="72" hidden="false" customHeight="true" outlineLevel="0" collapsed="false">
      <c r="A34" s="2" t="s">
        <v>220</v>
      </c>
      <c r="B34" s="2" t="s">
        <v>125</v>
      </c>
      <c r="C34" s="2" t="s">
        <v>221</v>
      </c>
      <c r="D34" s="2" t="s">
        <v>21</v>
      </c>
      <c r="E34" s="2" t="s">
        <v>23</v>
      </c>
      <c r="F34" s="2" t="s">
        <v>43</v>
      </c>
      <c r="G34" s="2" t="s">
        <v>171</v>
      </c>
      <c r="H34" s="2" t="s">
        <v>222</v>
      </c>
      <c r="I34" s="2" t="s">
        <v>129</v>
      </c>
      <c r="J34" s="2" t="s">
        <v>83</v>
      </c>
      <c r="K34" s="2" t="s">
        <v>223</v>
      </c>
      <c r="L34" s="2" t="s">
        <v>224</v>
      </c>
      <c r="M34" s="2" t="s">
        <v>30</v>
      </c>
      <c r="N34" s="2" t="s">
        <v>31</v>
      </c>
      <c r="O34" s="2"/>
      <c r="P34" s="2" t="s">
        <v>32</v>
      </c>
      <c r="Q34" s="2" t="s">
        <v>23</v>
      </c>
      <c r="R34" s="2" t="s">
        <v>33</v>
      </c>
    </row>
    <row r="35" customFormat="false" ht="72" hidden="false" customHeight="true" outlineLevel="0" collapsed="false">
      <c r="A35" s="2" t="s">
        <v>225</v>
      </c>
      <c r="B35" s="2" t="s">
        <v>125</v>
      </c>
      <c r="C35" s="2" t="s">
        <v>226</v>
      </c>
      <c r="D35" s="2" t="s">
        <v>35</v>
      </c>
      <c r="E35" s="2" t="s">
        <v>23</v>
      </c>
      <c r="F35" s="2" t="s">
        <v>23</v>
      </c>
      <c r="G35" s="2" t="s">
        <v>227</v>
      </c>
      <c r="H35" s="2" t="s">
        <v>228</v>
      </c>
      <c r="I35" s="2" t="s">
        <v>229</v>
      </c>
      <c r="J35" s="2" t="s">
        <v>230</v>
      </c>
      <c r="K35" s="2" t="s">
        <v>231</v>
      </c>
      <c r="L35" s="2" t="s">
        <v>232</v>
      </c>
      <c r="M35" s="2" t="s">
        <v>71</v>
      </c>
      <c r="N35" s="2"/>
      <c r="O35" s="2"/>
      <c r="P35" s="2" t="s">
        <v>72</v>
      </c>
      <c r="Q35" s="2" t="s">
        <v>43</v>
      </c>
      <c r="R35" s="2"/>
    </row>
    <row r="36" customFormat="false" ht="72" hidden="false" customHeight="true" outlineLevel="0" collapsed="false">
      <c r="A36" s="2" t="s">
        <v>233</v>
      </c>
      <c r="B36" s="2" t="s">
        <v>234</v>
      </c>
      <c r="C36" s="2" t="s">
        <v>126</v>
      </c>
      <c r="D36" s="2" t="s">
        <v>21</v>
      </c>
      <c r="E36" s="2" t="s">
        <v>23</v>
      </c>
      <c r="F36" s="2" t="s">
        <v>43</v>
      </c>
      <c r="G36" s="2" t="s">
        <v>235</v>
      </c>
      <c r="H36" s="2" t="s">
        <v>236</v>
      </c>
      <c r="I36" s="2" t="s">
        <v>129</v>
      </c>
      <c r="J36" s="2" t="s">
        <v>160</v>
      </c>
      <c r="K36" s="2" t="s">
        <v>237</v>
      </c>
      <c r="L36" s="2" t="s">
        <v>238</v>
      </c>
      <c r="M36" s="2" t="s">
        <v>30</v>
      </c>
      <c r="N36" s="2" t="s">
        <v>31</v>
      </c>
      <c r="O36" s="2"/>
      <c r="P36" s="2" t="s">
        <v>32</v>
      </c>
      <c r="Q36" s="2" t="s">
        <v>23</v>
      </c>
      <c r="R36" s="2" t="s">
        <v>33</v>
      </c>
    </row>
    <row r="37" customFormat="false" ht="72" hidden="false" customHeight="true" outlineLevel="0" collapsed="false">
      <c r="A37" s="2" t="s">
        <v>239</v>
      </c>
      <c r="B37" s="2" t="s">
        <v>234</v>
      </c>
      <c r="C37" s="2" t="s">
        <v>240</v>
      </c>
      <c r="D37" s="2" t="s">
        <v>21</v>
      </c>
      <c r="E37" s="2" t="s">
        <v>23</v>
      </c>
      <c r="F37" s="2" t="s">
        <v>43</v>
      </c>
      <c r="G37" s="2" t="s">
        <v>241</v>
      </c>
      <c r="H37" s="2" t="s">
        <v>242</v>
      </c>
      <c r="I37" s="2" t="s">
        <v>129</v>
      </c>
      <c r="J37" s="2" t="s">
        <v>83</v>
      </c>
      <c r="K37" s="2" t="s">
        <v>243</v>
      </c>
      <c r="L37" s="2" t="s">
        <v>244</v>
      </c>
      <c r="M37" s="2" t="s">
        <v>30</v>
      </c>
      <c r="N37" s="2" t="s">
        <v>31</v>
      </c>
      <c r="O37" s="2"/>
      <c r="P37" s="2" t="s">
        <v>32</v>
      </c>
      <c r="Q37" s="2" t="s">
        <v>43</v>
      </c>
      <c r="R37" s="2" t="s">
        <v>33</v>
      </c>
    </row>
    <row r="38" customFormat="false" ht="72" hidden="false" customHeight="true" outlineLevel="0" collapsed="false">
      <c r="A38" s="2" t="s">
        <v>245</v>
      </c>
      <c r="B38" s="2" t="s">
        <v>234</v>
      </c>
      <c r="C38" s="2" t="s">
        <v>246</v>
      </c>
      <c r="D38" s="2" t="s">
        <v>21</v>
      </c>
      <c r="E38" s="2" t="s">
        <v>23</v>
      </c>
      <c r="F38" s="2" t="s">
        <v>43</v>
      </c>
      <c r="G38" s="2" t="s">
        <v>247</v>
      </c>
      <c r="H38" s="2" t="s">
        <v>248</v>
      </c>
      <c r="I38" s="2" t="s">
        <v>129</v>
      </c>
      <c r="J38" s="2" t="s">
        <v>249</v>
      </c>
      <c r="K38" s="2" t="s">
        <v>250</v>
      </c>
      <c r="L38" s="2" t="s">
        <v>162</v>
      </c>
      <c r="M38" s="2" t="s">
        <v>30</v>
      </c>
      <c r="N38" s="2" t="s">
        <v>31</v>
      </c>
      <c r="O38" s="2"/>
      <c r="P38" s="2" t="s">
        <v>32</v>
      </c>
      <c r="Q38" s="2" t="s">
        <v>23</v>
      </c>
      <c r="R38" s="2" t="s">
        <v>33</v>
      </c>
    </row>
    <row r="39" customFormat="false" ht="72" hidden="false" customHeight="true" outlineLevel="0" collapsed="false">
      <c r="A39" s="2" t="s">
        <v>251</v>
      </c>
      <c r="B39" s="2" t="s">
        <v>234</v>
      </c>
      <c r="C39" s="2" t="s">
        <v>246</v>
      </c>
      <c r="D39" s="2" t="s">
        <v>21</v>
      </c>
      <c r="E39" s="2" t="s">
        <v>23</v>
      </c>
      <c r="F39" s="2" t="s">
        <v>43</v>
      </c>
      <c r="G39" s="2" t="s">
        <v>247</v>
      </c>
      <c r="H39" s="2" t="s">
        <v>252</v>
      </c>
      <c r="I39" s="2" t="s">
        <v>129</v>
      </c>
      <c r="J39" s="2" t="s">
        <v>249</v>
      </c>
      <c r="K39" s="2" t="s">
        <v>253</v>
      </c>
      <c r="L39" s="2" t="s">
        <v>254</v>
      </c>
      <c r="M39" s="2" t="s">
        <v>30</v>
      </c>
      <c r="N39" s="2" t="s">
        <v>31</v>
      </c>
      <c r="O39" s="2"/>
      <c r="P39" s="2" t="s">
        <v>32</v>
      </c>
      <c r="Q39" s="2" t="s">
        <v>43</v>
      </c>
      <c r="R39" s="2" t="s">
        <v>33</v>
      </c>
    </row>
    <row r="40" customFormat="false" ht="72" hidden="false" customHeight="true" outlineLevel="0" collapsed="false">
      <c r="A40" s="2" t="s">
        <v>255</v>
      </c>
      <c r="B40" s="2" t="s">
        <v>234</v>
      </c>
      <c r="C40" s="2" t="s">
        <v>256</v>
      </c>
      <c r="D40" s="2" t="s">
        <v>64</v>
      </c>
      <c r="E40" s="2" t="s">
        <v>43</v>
      </c>
      <c r="F40" s="2" t="s">
        <v>65</v>
      </c>
      <c r="G40" s="2" t="s">
        <v>257</v>
      </c>
      <c r="H40" s="2" t="s">
        <v>258</v>
      </c>
      <c r="I40" s="2" t="s">
        <v>129</v>
      </c>
      <c r="J40" s="2" t="s">
        <v>160</v>
      </c>
      <c r="K40" s="2" t="s">
        <v>259</v>
      </c>
      <c r="L40" s="2" t="s">
        <v>260</v>
      </c>
      <c r="M40" s="2" t="s">
        <v>30</v>
      </c>
      <c r="N40" s="2" t="s">
        <v>31</v>
      </c>
      <c r="O40" s="2"/>
      <c r="P40" s="2" t="s">
        <v>32</v>
      </c>
      <c r="Q40" s="2" t="s">
        <v>43</v>
      </c>
      <c r="R40" s="2" t="s">
        <v>33</v>
      </c>
    </row>
    <row r="41" customFormat="false" ht="72" hidden="false" customHeight="true" outlineLevel="0" collapsed="false">
      <c r="A41" s="2" t="s">
        <v>261</v>
      </c>
      <c r="B41" s="2" t="s">
        <v>234</v>
      </c>
      <c r="C41" s="2" t="s">
        <v>256</v>
      </c>
      <c r="D41" s="2" t="s">
        <v>64</v>
      </c>
      <c r="E41" s="2" t="s">
        <v>43</v>
      </c>
      <c r="F41" s="2" t="s">
        <v>65</v>
      </c>
      <c r="G41" s="2" t="s">
        <v>262</v>
      </c>
      <c r="H41" s="2" t="s">
        <v>263</v>
      </c>
      <c r="I41" s="2" t="s">
        <v>129</v>
      </c>
      <c r="J41" s="2" t="s">
        <v>264</v>
      </c>
      <c r="K41" s="2" t="s">
        <v>265</v>
      </c>
      <c r="L41" s="2" t="s">
        <v>266</v>
      </c>
      <c r="M41" s="2" t="s">
        <v>71</v>
      </c>
      <c r="N41" s="2"/>
      <c r="O41" s="2"/>
      <c r="P41" s="2" t="s">
        <v>72</v>
      </c>
      <c r="Q41" s="2" t="s">
        <v>65</v>
      </c>
      <c r="R41" s="2"/>
    </row>
    <row r="42" customFormat="false" ht="72" hidden="false" customHeight="true" outlineLevel="0" collapsed="false">
      <c r="A42" s="2" t="s">
        <v>267</v>
      </c>
      <c r="B42" s="2" t="s">
        <v>234</v>
      </c>
      <c r="C42" s="2" t="s">
        <v>268</v>
      </c>
      <c r="D42" s="2" t="s">
        <v>21</v>
      </c>
      <c r="E42" s="2" t="s">
        <v>43</v>
      </c>
      <c r="F42" s="2" t="s">
        <v>65</v>
      </c>
      <c r="G42" s="2" t="s">
        <v>262</v>
      </c>
      <c r="H42" s="2" t="s">
        <v>269</v>
      </c>
      <c r="I42" s="2" t="s">
        <v>129</v>
      </c>
      <c r="J42" s="2" t="s">
        <v>270</v>
      </c>
      <c r="K42" s="2" t="s">
        <v>271</v>
      </c>
      <c r="L42" s="2" t="s">
        <v>272</v>
      </c>
      <c r="M42" s="2" t="s">
        <v>71</v>
      </c>
      <c r="N42" s="2"/>
      <c r="O42" s="2"/>
      <c r="P42" s="2" t="s">
        <v>72</v>
      </c>
      <c r="Q42" s="2" t="s">
        <v>65</v>
      </c>
      <c r="R42" s="2"/>
    </row>
    <row r="43" customFormat="false" ht="72" hidden="false" customHeight="true" outlineLevel="0" collapsed="false">
      <c r="A43" s="2" t="s">
        <v>273</v>
      </c>
      <c r="B43" s="2" t="s">
        <v>234</v>
      </c>
      <c r="C43" s="2" t="s">
        <v>268</v>
      </c>
      <c r="D43" s="2" t="s">
        <v>64</v>
      </c>
      <c r="E43" s="2" t="s">
        <v>43</v>
      </c>
      <c r="F43" s="2" t="s">
        <v>65</v>
      </c>
      <c r="G43" s="2" t="s">
        <v>262</v>
      </c>
      <c r="H43" s="2" t="s">
        <v>274</v>
      </c>
      <c r="I43" s="2" t="s">
        <v>129</v>
      </c>
      <c r="J43" s="2" t="s">
        <v>275</v>
      </c>
      <c r="K43" s="2" t="s">
        <v>276</v>
      </c>
      <c r="L43" s="2" t="s">
        <v>277</v>
      </c>
      <c r="M43" s="2" t="s">
        <v>71</v>
      </c>
      <c r="N43" s="2"/>
      <c r="O43" s="2"/>
      <c r="P43" s="2" t="s">
        <v>86</v>
      </c>
      <c r="Q43" s="2" t="s">
        <v>83</v>
      </c>
      <c r="R43" s="2"/>
    </row>
    <row r="44" customFormat="false" ht="72" hidden="false" customHeight="true" outlineLevel="0" collapsed="false">
      <c r="A44" s="2" t="s">
        <v>278</v>
      </c>
      <c r="B44" s="2" t="s">
        <v>234</v>
      </c>
      <c r="C44" s="2" t="s">
        <v>226</v>
      </c>
      <c r="D44" s="2" t="s">
        <v>35</v>
      </c>
      <c r="E44" s="2" t="s">
        <v>23</v>
      </c>
      <c r="F44" s="2" t="s">
        <v>23</v>
      </c>
      <c r="G44" s="2" t="s">
        <v>279</v>
      </c>
      <c r="H44" s="2" t="s">
        <v>280</v>
      </c>
      <c r="I44" s="2" t="s">
        <v>229</v>
      </c>
      <c r="J44" s="2" t="s">
        <v>270</v>
      </c>
      <c r="K44" s="2" t="s">
        <v>281</v>
      </c>
      <c r="L44" s="2" t="s">
        <v>282</v>
      </c>
      <c r="M44" s="2" t="s">
        <v>71</v>
      </c>
      <c r="N44" s="2"/>
      <c r="O44" s="2"/>
      <c r="P44" s="2" t="s">
        <v>72</v>
      </c>
      <c r="Q44" s="2" t="s">
        <v>43</v>
      </c>
      <c r="R44" s="2"/>
    </row>
    <row r="45" customFormat="false" ht="72" hidden="false" customHeight="true" outlineLevel="0" collapsed="false">
      <c r="A45" s="2" t="s">
        <v>283</v>
      </c>
      <c r="B45" s="2" t="s">
        <v>234</v>
      </c>
      <c r="C45" s="2" t="s">
        <v>221</v>
      </c>
      <c r="D45" s="2" t="s">
        <v>21</v>
      </c>
      <c r="E45" s="2" t="s">
        <v>43</v>
      </c>
      <c r="F45" s="2" t="s">
        <v>65</v>
      </c>
      <c r="G45" s="2" t="s">
        <v>247</v>
      </c>
      <c r="H45" s="2" t="s">
        <v>284</v>
      </c>
      <c r="I45" s="2" t="s">
        <v>129</v>
      </c>
      <c r="J45" s="2" t="s">
        <v>83</v>
      </c>
      <c r="K45" s="2" t="s">
        <v>285</v>
      </c>
      <c r="L45" s="2" t="s">
        <v>286</v>
      </c>
      <c r="M45" s="2" t="s">
        <v>71</v>
      </c>
      <c r="N45" s="2"/>
      <c r="O45" s="2"/>
      <c r="P45" s="2" t="s">
        <v>72</v>
      </c>
      <c r="Q45" s="2" t="s">
        <v>65</v>
      </c>
      <c r="R45" s="2"/>
    </row>
    <row r="46" customFormat="false" ht="72" hidden="false" customHeight="true" outlineLevel="0" collapsed="false">
      <c r="A46" s="2" t="s">
        <v>287</v>
      </c>
      <c r="B46" s="2" t="s">
        <v>246</v>
      </c>
      <c r="C46" s="2" t="s">
        <v>126</v>
      </c>
      <c r="D46" s="2" t="s">
        <v>21</v>
      </c>
      <c r="E46" s="2" t="s">
        <v>22</v>
      </c>
      <c r="F46" s="2" t="s">
        <v>23</v>
      </c>
      <c r="G46" s="2" t="s">
        <v>288</v>
      </c>
      <c r="H46" s="2" t="s">
        <v>289</v>
      </c>
      <c r="I46" s="2" t="s">
        <v>129</v>
      </c>
      <c r="J46" s="2" t="s">
        <v>83</v>
      </c>
      <c r="K46" s="2" t="s">
        <v>290</v>
      </c>
      <c r="L46" s="2" t="s">
        <v>291</v>
      </c>
      <c r="M46" s="2" t="s">
        <v>30</v>
      </c>
      <c r="N46" s="2" t="s">
        <v>31</v>
      </c>
      <c r="O46" s="2"/>
      <c r="P46" s="2" t="s">
        <v>32</v>
      </c>
      <c r="Q46" s="2" t="s">
        <v>23</v>
      </c>
      <c r="R46" s="2" t="s">
        <v>33</v>
      </c>
    </row>
    <row r="47" customFormat="false" ht="72" hidden="false" customHeight="true" outlineLevel="0" collapsed="false">
      <c r="A47" s="2" t="s">
        <v>292</v>
      </c>
      <c r="B47" s="2" t="s">
        <v>246</v>
      </c>
      <c r="C47" s="2" t="s">
        <v>293</v>
      </c>
      <c r="D47" s="2" t="s">
        <v>64</v>
      </c>
      <c r="E47" s="2" t="s">
        <v>23</v>
      </c>
      <c r="F47" s="2" t="s">
        <v>43</v>
      </c>
      <c r="G47" s="2" t="s">
        <v>294</v>
      </c>
      <c r="H47" s="2" t="s">
        <v>295</v>
      </c>
      <c r="I47" s="2" t="s">
        <v>129</v>
      </c>
      <c r="J47" s="2" t="s">
        <v>83</v>
      </c>
      <c r="K47" s="2" t="s">
        <v>296</v>
      </c>
      <c r="L47" s="2" t="s">
        <v>297</v>
      </c>
      <c r="M47" s="2" t="s">
        <v>71</v>
      </c>
      <c r="N47" s="2"/>
      <c r="O47" s="2"/>
      <c r="P47" s="2" t="s">
        <v>72</v>
      </c>
      <c r="Q47" s="2" t="s">
        <v>43</v>
      </c>
      <c r="R47" s="2"/>
    </row>
    <row r="48" customFormat="false" ht="72" hidden="false" customHeight="true" outlineLevel="0" collapsed="false">
      <c r="A48" s="2" t="s">
        <v>298</v>
      </c>
      <c r="B48" s="2" t="s">
        <v>246</v>
      </c>
      <c r="C48" s="2" t="s">
        <v>299</v>
      </c>
      <c r="D48" s="2" t="s">
        <v>21</v>
      </c>
      <c r="E48" s="2" t="s">
        <v>23</v>
      </c>
      <c r="F48" s="2" t="s">
        <v>43</v>
      </c>
      <c r="G48" s="2" t="s">
        <v>300</v>
      </c>
      <c r="H48" s="2" t="s">
        <v>301</v>
      </c>
      <c r="I48" s="2" t="s">
        <v>129</v>
      </c>
      <c r="J48" s="2" t="s">
        <v>302</v>
      </c>
      <c r="K48" s="2" t="s">
        <v>303</v>
      </c>
      <c r="L48" s="2" t="s">
        <v>304</v>
      </c>
      <c r="M48" s="2" t="s">
        <v>30</v>
      </c>
      <c r="N48" s="2" t="s">
        <v>31</v>
      </c>
      <c r="O48" s="2"/>
      <c r="P48" s="2" t="s">
        <v>32</v>
      </c>
      <c r="Q48" s="2" t="s">
        <v>23</v>
      </c>
      <c r="R48" s="2" t="s">
        <v>33</v>
      </c>
    </row>
    <row r="49" customFormat="false" ht="72" hidden="false" customHeight="true" outlineLevel="0" collapsed="false">
      <c r="A49" s="2" t="s">
        <v>305</v>
      </c>
      <c r="B49" s="2" t="s">
        <v>246</v>
      </c>
      <c r="C49" s="2" t="s">
        <v>299</v>
      </c>
      <c r="D49" s="2" t="s">
        <v>21</v>
      </c>
      <c r="E49" s="2" t="s">
        <v>23</v>
      </c>
      <c r="F49" s="2" t="s">
        <v>43</v>
      </c>
      <c r="G49" s="2" t="s">
        <v>300</v>
      </c>
      <c r="H49" s="2" t="s">
        <v>306</v>
      </c>
      <c r="I49" s="2" t="s">
        <v>129</v>
      </c>
      <c r="J49" s="2" t="s">
        <v>166</v>
      </c>
      <c r="K49" s="2" t="s">
        <v>307</v>
      </c>
      <c r="L49" s="2" t="s">
        <v>308</v>
      </c>
      <c r="M49" s="2" t="s">
        <v>30</v>
      </c>
      <c r="N49" s="2" t="s">
        <v>31</v>
      </c>
      <c r="O49" s="2"/>
      <c r="P49" s="2" t="s">
        <v>32</v>
      </c>
      <c r="Q49" s="2" t="s">
        <v>23</v>
      </c>
      <c r="R49" s="2" t="s">
        <v>33</v>
      </c>
    </row>
    <row r="50" customFormat="false" ht="72" hidden="false" customHeight="true" outlineLevel="0" collapsed="false">
      <c r="A50" s="2" t="s">
        <v>309</v>
      </c>
      <c r="B50" s="2" t="s">
        <v>246</v>
      </c>
      <c r="C50" s="2" t="s">
        <v>170</v>
      </c>
      <c r="D50" s="2" t="s">
        <v>21</v>
      </c>
      <c r="E50" s="2" t="s">
        <v>23</v>
      </c>
      <c r="F50" s="2" t="s">
        <v>43</v>
      </c>
      <c r="G50" s="2" t="s">
        <v>310</v>
      </c>
      <c r="H50" s="2" t="s">
        <v>311</v>
      </c>
      <c r="I50" s="2" t="s">
        <v>129</v>
      </c>
      <c r="J50" s="2" t="s">
        <v>312</v>
      </c>
      <c r="K50" s="2" t="s">
        <v>313</v>
      </c>
      <c r="L50" s="2" t="s">
        <v>314</v>
      </c>
      <c r="M50" s="2" t="s">
        <v>30</v>
      </c>
      <c r="N50" s="2" t="s">
        <v>31</v>
      </c>
      <c r="O50" s="2"/>
      <c r="P50" s="2" t="s">
        <v>32</v>
      </c>
      <c r="Q50" s="2" t="s">
        <v>23</v>
      </c>
      <c r="R50" s="2" t="s">
        <v>33</v>
      </c>
    </row>
    <row r="51" customFormat="false" ht="72" hidden="false" customHeight="true" outlineLevel="0" collapsed="false">
      <c r="A51" s="2" t="s">
        <v>315</v>
      </c>
      <c r="B51" s="2" t="s">
        <v>246</v>
      </c>
      <c r="C51" s="2" t="s">
        <v>170</v>
      </c>
      <c r="D51" s="2" t="s">
        <v>64</v>
      </c>
      <c r="E51" s="2" t="s">
        <v>43</v>
      </c>
      <c r="F51" s="2" t="s">
        <v>65</v>
      </c>
      <c r="G51" s="2" t="s">
        <v>316</v>
      </c>
      <c r="H51" s="2" t="s">
        <v>317</v>
      </c>
      <c r="I51" s="2" t="s">
        <v>129</v>
      </c>
      <c r="J51" s="2" t="s">
        <v>312</v>
      </c>
      <c r="K51" s="2" t="s">
        <v>318</v>
      </c>
      <c r="L51" s="2" t="s">
        <v>319</v>
      </c>
      <c r="M51" s="2" t="s">
        <v>30</v>
      </c>
      <c r="N51" s="2" t="s">
        <v>31</v>
      </c>
      <c r="O51" s="2"/>
      <c r="P51" s="2" t="s">
        <v>32</v>
      </c>
      <c r="Q51" s="2" t="s">
        <v>43</v>
      </c>
      <c r="R51" s="2" t="s">
        <v>33</v>
      </c>
    </row>
    <row r="52" customFormat="false" ht="72" hidden="false" customHeight="true" outlineLevel="0" collapsed="false">
      <c r="A52" s="2" t="s">
        <v>320</v>
      </c>
      <c r="B52" s="2" t="s">
        <v>246</v>
      </c>
      <c r="C52" s="2" t="s">
        <v>321</v>
      </c>
      <c r="D52" s="2" t="s">
        <v>21</v>
      </c>
      <c r="E52" s="2" t="s">
        <v>23</v>
      </c>
      <c r="F52" s="2" t="s">
        <v>43</v>
      </c>
      <c r="G52" s="2" t="s">
        <v>300</v>
      </c>
      <c r="H52" s="2" t="s">
        <v>322</v>
      </c>
      <c r="I52" s="2" t="s">
        <v>129</v>
      </c>
      <c r="J52" s="2" t="s">
        <v>302</v>
      </c>
      <c r="K52" s="2" t="s">
        <v>323</v>
      </c>
      <c r="L52" s="2" t="s">
        <v>324</v>
      </c>
      <c r="M52" s="2" t="s">
        <v>30</v>
      </c>
      <c r="N52" s="2" t="s">
        <v>31</v>
      </c>
      <c r="O52" s="2"/>
      <c r="P52" s="2" t="s">
        <v>32</v>
      </c>
      <c r="Q52" s="2" t="s">
        <v>43</v>
      </c>
      <c r="R52" s="2" t="s">
        <v>33</v>
      </c>
    </row>
    <row r="53" customFormat="false" ht="72" hidden="false" customHeight="true" outlineLevel="0" collapsed="false">
      <c r="A53" s="2" t="s">
        <v>325</v>
      </c>
      <c r="B53" s="2" t="s">
        <v>246</v>
      </c>
      <c r="C53" s="2" t="s">
        <v>326</v>
      </c>
      <c r="D53" s="2" t="s">
        <v>21</v>
      </c>
      <c r="E53" s="2" t="s">
        <v>22</v>
      </c>
      <c r="F53" s="2" t="s">
        <v>23</v>
      </c>
      <c r="G53" s="2" t="s">
        <v>327</v>
      </c>
      <c r="H53" s="2" t="s">
        <v>328</v>
      </c>
      <c r="I53" s="2" t="s">
        <v>129</v>
      </c>
      <c r="J53" s="2" t="s">
        <v>302</v>
      </c>
      <c r="K53" s="2" t="s">
        <v>329</v>
      </c>
      <c r="L53" s="2" t="s">
        <v>330</v>
      </c>
      <c r="M53" s="2" t="s">
        <v>30</v>
      </c>
      <c r="N53" s="2" t="s">
        <v>31</v>
      </c>
      <c r="O53" s="2"/>
      <c r="P53" s="2" t="s">
        <v>32</v>
      </c>
      <c r="Q53" s="2" t="s">
        <v>23</v>
      </c>
      <c r="R53" s="2" t="s">
        <v>33</v>
      </c>
    </row>
    <row r="54" customFormat="false" ht="72" hidden="false" customHeight="true" outlineLevel="0" collapsed="false">
      <c r="A54" s="2" t="s">
        <v>331</v>
      </c>
      <c r="B54" s="2" t="s">
        <v>246</v>
      </c>
      <c r="C54" s="2" t="s">
        <v>326</v>
      </c>
      <c r="D54" s="2" t="s">
        <v>64</v>
      </c>
      <c r="E54" s="2" t="s">
        <v>43</v>
      </c>
      <c r="F54" s="2" t="s">
        <v>65</v>
      </c>
      <c r="G54" s="2" t="s">
        <v>316</v>
      </c>
      <c r="H54" s="2" t="s">
        <v>332</v>
      </c>
      <c r="I54" s="2" t="s">
        <v>129</v>
      </c>
      <c r="J54" s="2" t="s">
        <v>333</v>
      </c>
      <c r="K54" s="2" t="s">
        <v>334</v>
      </c>
      <c r="L54" s="2" t="s">
        <v>335</v>
      </c>
      <c r="M54" s="2" t="s">
        <v>71</v>
      </c>
      <c r="N54" s="2"/>
      <c r="O54" s="2"/>
      <c r="P54" s="2" t="s">
        <v>86</v>
      </c>
      <c r="Q54" s="2" t="s">
        <v>83</v>
      </c>
      <c r="R54" s="2"/>
    </row>
    <row r="55" customFormat="false" ht="72" hidden="false" customHeight="true" outlineLevel="0" collapsed="false">
      <c r="A55" s="2" t="s">
        <v>336</v>
      </c>
      <c r="B55" s="2" t="s">
        <v>246</v>
      </c>
      <c r="C55" s="2" t="s">
        <v>176</v>
      </c>
      <c r="D55" s="2" t="s">
        <v>21</v>
      </c>
      <c r="E55" s="2" t="s">
        <v>23</v>
      </c>
      <c r="F55" s="2" t="s">
        <v>43</v>
      </c>
      <c r="G55" s="2" t="s">
        <v>300</v>
      </c>
      <c r="H55" s="2" t="s">
        <v>337</v>
      </c>
      <c r="I55" s="2" t="s">
        <v>129</v>
      </c>
      <c r="J55" s="2" t="s">
        <v>166</v>
      </c>
      <c r="K55" s="2" t="s">
        <v>338</v>
      </c>
      <c r="L55" s="2" t="s">
        <v>339</v>
      </c>
      <c r="M55" s="2" t="s">
        <v>30</v>
      </c>
      <c r="N55" s="2" t="s">
        <v>31</v>
      </c>
      <c r="O55" s="2"/>
      <c r="P55" s="2" t="s">
        <v>32</v>
      </c>
      <c r="Q55" s="2" t="s">
        <v>23</v>
      </c>
      <c r="R55" s="2" t="s">
        <v>33</v>
      </c>
    </row>
    <row r="56" customFormat="false" ht="72" hidden="false" customHeight="true" outlineLevel="0" collapsed="false">
      <c r="A56" s="2" t="s">
        <v>340</v>
      </c>
      <c r="B56" s="2" t="s">
        <v>246</v>
      </c>
      <c r="C56" s="2" t="s">
        <v>256</v>
      </c>
      <c r="D56" s="2" t="s">
        <v>64</v>
      </c>
      <c r="E56" s="2" t="s">
        <v>43</v>
      </c>
      <c r="F56" s="2" t="s">
        <v>65</v>
      </c>
      <c r="G56" s="2" t="s">
        <v>316</v>
      </c>
      <c r="H56" s="2" t="s">
        <v>341</v>
      </c>
      <c r="I56" s="2" t="s">
        <v>129</v>
      </c>
      <c r="J56" s="2" t="s">
        <v>302</v>
      </c>
      <c r="K56" s="2" t="s">
        <v>342</v>
      </c>
      <c r="L56" s="2" t="s">
        <v>343</v>
      </c>
      <c r="M56" s="2" t="s">
        <v>30</v>
      </c>
      <c r="N56" s="2" t="s">
        <v>31</v>
      </c>
      <c r="O56" s="2"/>
      <c r="P56" s="2" t="s">
        <v>32</v>
      </c>
      <c r="Q56" s="2" t="s">
        <v>43</v>
      </c>
      <c r="R56" s="2" t="s">
        <v>33</v>
      </c>
    </row>
    <row r="57" customFormat="false" ht="72" hidden="false" customHeight="true" outlineLevel="0" collapsed="false">
      <c r="A57" s="2" t="s">
        <v>344</v>
      </c>
      <c r="B57" s="2" t="s">
        <v>246</v>
      </c>
      <c r="C57" s="2" t="s">
        <v>256</v>
      </c>
      <c r="D57" s="2" t="s">
        <v>64</v>
      </c>
      <c r="E57" s="2" t="s">
        <v>23</v>
      </c>
      <c r="F57" s="2" t="s">
        <v>43</v>
      </c>
      <c r="G57" s="2" t="s">
        <v>345</v>
      </c>
      <c r="H57" s="2" t="s">
        <v>346</v>
      </c>
      <c r="I57" s="2" t="s">
        <v>129</v>
      </c>
      <c r="J57" s="2" t="s">
        <v>312</v>
      </c>
      <c r="K57" s="2" t="s">
        <v>347</v>
      </c>
      <c r="L57" s="2" t="s">
        <v>348</v>
      </c>
      <c r="M57" s="2" t="s">
        <v>30</v>
      </c>
      <c r="N57" s="2" t="s">
        <v>31</v>
      </c>
      <c r="O57" s="2"/>
      <c r="P57" s="2" t="s">
        <v>32</v>
      </c>
      <c r="Q57" s="2" t="s">
        <v>23</v>
      </c>
      <c r="R57" s="2" t="s">
        <v>33</v>
      </c>
    </row>
    <row r="58" customFormat="false" ht="72" hidden="false" customHeight="true" outlineLevel="0" collapsed="false">
      <c r="A58" s="2" t="s">
        <v>349</v>
      </c>
      <c r="B58" s="2" t="s">
        <v>246</v>
      </c>
      <c r="C58" s="2" t="s">
        <v>268</v>
      </c>
      <c r="D58" s="2" t="s">
        <v>21</v>
      </c>
      <c r="E58" s="2" t="s">
        <v>43</v>
      </c>
      <c r="F58" s="2" t="s">
        <v>65</v>
      </c>
      <c r="G58" s="2" t="s">
        <v>316</v>
      </c>
      <c r="H58" s="2" t="s">
        <v>350</v>
      </c>
      <c r="I58" s="2" t="s">
        <v>129</v>
      </c>
      <c r="J58" s="2" t="s">
        <v>351</v>
      </c>
      <c r="K58" s="2" t="s">
        <v>352</v>
      </c>
      <c r="L58" s="2" t="s">
        <v>353</v>
      </c>
      <c r="M58" s="2" t="s">
        <v>71</v>
      </c>
      <c r="N58" s="2"/>
      <c r="O58" s="2"/>
      <c r="P58" s="2" t="s">
        <v>72</v>
      </c>
      <c r="Q58" s="2" t="s">
        <v>65</v>
      </c>
      <c r="R58" s="2"/>
    </row>
    <row r="59" customFormat="false" ht="72" hidden="false" customHeight="true" outlineLevel="0" collapsed="false">
      <c r="A59" s="2" t="s">
        <v>354</v>
      </c>
      <c r="B59" s="2" t="s">
        <v>246</v>
      </c>
      <c r="C59" s="2" t="s">
        <v>226</v>
      </c>
      <c r="D59" s="2" t="s">
        <v>35</v>
      </c>
      <c r="E59" s="2" t="s">
        <v>23</v>
      </c>
      <c r="F59" s="2" t="s">
        <v>23</v>
      </c>
      <c r="G59" s="2" t="s">
        <v>355</v>
      </c>
      <c r="H59" s="2" t="s">
        <v>356</v>
      </c>
      <c r="I59" s="2" t="s">
        <v>229</v>
      </c>
      <c r="J59" s="2" t="s">
        <v>351</v>
      </c>
      <c r="K59" s="2" t="s">
        <v>357</v>
      </c>
      <c r="L59" s="2" t="s">
        <v>282</v>
      </c>
      <c r="M59" s="2" t="s">
        <v>71</v>
      </c>
      <c r="N59" s="2"/>
      <c r="O59" s="2"/>
      <c r="P59" s="2" t="s">
        <v>72</v>
      </c>
      <c r="Q59" s="2" t="s">
        <v>43</v>
      </c>
      <c r="R59" s="2"/>
    </row>
    <row r="60" customFormat="false" ht="72" hidden="false" customHeight="true" outlineLevel="0" collapsed="false">
      <c r="A60" s="2" t="s">
        <v>358</v>
      </c>
      <c r="B60" s="2" t="s">
        <v>246</v>
      </c>
      <c r="C60" s="2" t="s">
        <v>170</v>
      </c>
      <c r="D60" s="2" t="s">
        <v>64</v>
      </c>
      <c r="E60" s="2" t="s">
        <v>43</v>
      </c>
      <c r="F60" s="2" t="s">
        <v>65</v>
      </c>
      <c r="G60" s="2" t="s">
        <v>316</v>
      </c>
      <c r="H60" s="2" t="s">
        <v>359</v>
      </c>
      <c r="I60" s="2" t="s">
        <v>129</v>
      </c>
      <c r="J60" s="2" t="s">
        <v>302</v>
      </c>
      <c r="K60" s="2" t="s">
        <v>360</v>
      </c>
      <c r="L60" s="2" t="s">
        <v>361</v>
      </c>
      <c r="M60" s="2" t="s">
        <v>71</v>
      </c>
      <c r="N60" s="2"/>
      <c r="O60" s="2"/>
      <c r="P60" s="2" t="s">
        <v>72</v>
      </c>
      <c r="Q60" s="2" t="s">
        <v>65</v>
      </c>
      <c r="R60" s="2"/>
    </row>
    <row r="61" customFormat="false" ht="72" hidden="false" customHeight="true" outlineLevel="0" collapsed="false">
      <c r="A61" s="2" t="s">
        <v>362</v>
      </c>
      <c r="B61" s="2" t="s">
        <v>246</v>
      </c>
      <c r="C61" s="2" t="s">
        <v>363</v>
      </c>
      <c r="D61" s="2" t="s">
        <v>21</v>
      </c>
      <c r="E61" s="2" t="s">
        <v>43</v>
      </c>
      <c r="F61" s="2" t="s">
        <v>65</v>
      </c>
      <c r="G61" s="2" t="s">
        <v>300</v>
      </c>
      <c r="H61" s="2" t="s">
        <v>364</v>
      </c>
      <c r="I61" s="2" t="s">
        <v>129</v>
      </c>
      <c r="J61" s="2" t="s">
        <v>365</v>
      </c>
      <c r="K61" s="2" t="s">
        <v>366</v>
      </c>
      <c r="L61" s="2" t="s">
        <v>367</v>
      </c>
      <c r="M61" s="2" t="s">
        <v>71</v>
      </c>
      <c r="N61" s="2"/>
      <c r="O61" s="2"/>
      <c r="P61" s="2" t="s">
        <v>72</v>
      </c>
      <c r="Q61" s="2" t="s">
        <v>65</v>
      </c>
      <c r="R61" s="2"/>
    </row>
    <row r="62" customFormat="false" ht="72" hidden="false" customHeight="true" outlineLevel="0" collapsed="false">
      <c r="A62" s="2" t="s">
        <v>368</v>
      </c>
      <c r="B62" s="2" t="s">
        <v>369</v>
      </c>
      <c r="C62" s="2" t="s">
        <v>126</v>
      </c>
      <c r="D62" s="2" t="s">
        <v>21</v>
      </c>
      <c r="E62" s="2" t="s">
        <v>22</v>
      </c>
      <c r="F62" s="2" t="s">
        <v>23</v>
      </c>
      <c r="G62" s="2" t="s">
        <v>370</v>
      </c>
      <c r="H62" s="2" t="s">
        <v>371</v>
      </c>
      <c r="I62" s="2" t="s">
        <v>129</v>
      </c>
      <c r="J62" s="2" t="s">
        <v>302</v>
      </c>
      <c r="K62" s="2" t="s">
        <v>329</v>
      </c>
      <c r="L62" s="2" t="s">
        <v>372</v>
      </c>
      <c r="M62" s="2" t="s">
        <v>30</v>
      </c>
      <c r="N62" s="2" t="s">
        <v>31</v>
      </c>
      <c r="O62" s="2"/>
      <c r="P62" s="2" t="s">
        <v>32</v>
      </c>
      <c r="Q62" s="2" t="s">
        <v>23</v>
      </c>
      <c r="R62" s="2" t="s">
        <v>33</v>
      </c>
    </row>
    <row r="63" customFormat="false" ht="72" hidden="false" customHeight="true" outlineLevel="0" collapsed="false">
      <c r="A63" s="2" t="s">
        <v>373</v>
      </c>
      <c r="B63" s="2" t="s">
        <v>369</v>
      </c>
      <c r="C63" s="2" t="s">
        <v>42</v>
      </c>
      <c r="D63" s="2" t="s">
        <v>35</v>
      </c>
      <c r="E63" s="2" t="s">
        <v>22</v>
      </c>
      <c r="F63" s="2" t="s">
        <v>23</v>
      </c>
      <c r="G63" s="2" t="s">
        <v>374</v>
      </c>
      <c r="H63" s="2" t="s">
        <v>375</v>
      </c>
      <c r="I63" s="2" t="s">
        <v>129</v>
      </c>
      <c r="J63" s="2" t="s">
        <v>376</v>
      </c>
      <c r="K63" s="2" t="s">
        <v>377</v>
      </c>
      <c r="L63" s="2" t="s">
        <v>378</v>
      </c>
      <c r="M63" s="2" t="s">
        <v>30</v>
      </c>
      <c r="N63" s="2" t="s">
        <v>31</v>
      </c>
      <c r="O63" s="2"/>
      <c r="P63" s="2" t="s">
        <v>32</v>
      </c>
      <c r="Q63" s="2" t="s">
        <v>23</v>
      </c>
      <c r="R63" s="2" t="s">
        <v>33</v>
      </c>
    </row>
    <row r="64" customFormat="false" ht="72" hidden="false" customHeight="true" outlineLevel="0" collapsed="false">
      <c r="A64" s="2" t="s">
        <v>379</v>
      </c>
      <c r="B64" s="2" t="s">
        <v>369</v>
      </c>
      <c r="C64" s="2" t="s">
        <v>42</v>
      </c>
      <c r="D64" s="2" t="s">
        <v>35</v>
      </c>
      <c r="E64" s="2" t="s">
        <v>22</v>
      </c>
      <c r="F64" s="2" t="s">
        <v>23</v>
      </c>
      <c r="G64" s="2" t="s">
        <v>374</v>
      </c>
      <c r="H64" s="2" t="s">
        <v>380</v>
      </c>
      <c r="I64" s="2" t="s">
        <v>129</v>
      </c>
      <c r="J64" s="2" t="s">
        <v>381</v>
      </c>
      <c r="K64" s="2" t="s">
        <v>382</v>
      </c>
      <c r="L64" s="2" t="s">
        <v>383</v>
      </c>
      <c r="M64" s="2" t="s">
        <v>30</v>
      </c>
      <c r="N64" s="2" t="s">
        <v>31</v>
      </c>
      <c r="O64" s="2"/>
      <c r="P64" s="2" t="s">
        <v>32</v>
      </c>
      <c r="Q64" s="2" t="s">
        <v>23</v>
      </c>
      <c r="R64" s="2" t="s">
        <v>33</v>
      </c>
    </row>
    <row r="65" customFormat="false" ht="72" hidden="false" customHeight="true" outlineLevel="0" collapsed="false">
      <c r="A65" s="2" t="s">
        <v>384</v>
      </c>
      <c r="B65" s="2" t="s">
        <v>369</v>
      </c>
      <c r="C65" s="2" t="s">
        <v>42</v>
      </c>
      <c r="D65" s="2" t="s">
        <v>35</v>
      </c>
      <c r="E65" s="2" t="s">
        <v>22</v>
      </c>
      <c r="F65" s="2" t="s">
        <v>23</v>
      </c>
      <c r="G65" s="2" t="s">
        <v>374</v>
      </c>
      <c r="H65" s="2" t="s">
        <v>385</v>
      </c>
      <c r="I65" s="2" t="s">
        <v>129</v>
      </c>
      <c r="J65" s="2" t="s">
        <v>386</v>
      </c>
      <c r="K65" s="2" t="s">
        <v>387</v>
      </c>
      <c r="L65" s="2" t="s">
        <v>388</v>
      </c>
      <c r="M65" s="2" t="s">
        <v>30</v>
      </c>
      <c r="N65" s="2" t="s">
        <v>31</v>
      </c>
      <c r="O65" s="2"/>
      <c r="P65" s="2" t="s">
        <v>32</v>
      </c>
      <c r="Q65" s="2" t="s">
        <v>23</v>
      </c>
      <c r="R65" s="2" t="s">
        <v>33</v>
      </c>
    </row>
    <row r="66" customFormat="false" ht="72" hidden="false" customHeight="true" outlineLevel="0" collapsed="false">
      <c r="A66" s="2" t="s">
        <v>389</v>
      </c>
      <c r="B66" s="2" t="s">
        <v>369</v>
      </c>
      <c r="C66" s="2" t="s">
        <v>42</v>
      </c>
      <c r="D66" s="2" t="s">
        <v>35</v>
      </c>
      <c r="E66" s="2" t="s">
        <v>23</v>
      </c>
      <c r="F66" s="2" t="s">
        <v>43</v>
      </c>
      <c r="G66" s="2" t="s">
        <v>390</v>
      </c>
      <c r="H66" s="2" t="s">
        <v>391</v>
      </c>
      <c r="I66" s="2" t="s">
        <v>129</v>
      </c>
      <c r="J66" s="2" t="s">
        <v>392</v>
      </c>
      <c r="K66" s="2" t="s">
        <v>393</v>
      </c>
      <c r="L66" s="2" t="s">
        <v>394</v>
      </c>
      <c r="M66" s="2" t="s">
        <v>30</v>
      </c>
      <c r="N66" s="2" t="s">
        <v>31</v>
      </c>
      <c r="O66" s="2"/>
      <c r="P66" s="2" t="s">
        <v>32</v>
      </c>
      <c r="Q66" s="2" t="s">
        <v>43</v>
      </c>
      <c r="R66" s="2" t="s">
        <v>33</v>
      </c>
    </row>
    <row r="67" customFormat="false" ht="72" hidden="false" customHeight="true" outlineLevel="0" collapsed="false">
      <c r="A67" s="2" t="s">
        <v>395</v>
      </c>
      <c r="B67" s="2" t="s">
        <v>369</v>
      </c>
      <c r="C67" s="2" t="s">
        <v>42</v>
      </c>
      <c r="D67" s="2" t="s">
        <v>21</v>
      </c>
      <c r="E67" s="2" t="s">
        <v>22</v>
      </c>
      <c r="F67" s="2" t="s">
        <v>23</v>
      </c>
      <c r="G67" s="2" t="s">
        <v>370</v>
      </c>
      <c r="H67" s="2" t="s">
        <v>396</v>
      </c>
      <c r="I67" s="2" t="s">
        <v>129</v>
      </c>
      <c r="J67" s="2" t="s">
        <v>397</v>
      </c>
      <c r="K67" s="2" t="s">
        <v>398</v>
      </c>
      <c r="L67" s="2" t="s">
        <v>399</v>
      </c>
      <c r="M67" s="2" t="s">
        <v>30</v>
      </c>
      <c r="N67" s="2" t="s">
        <v>31</v>
      </c>
      <c r="O67" s="2"/>
      <c r="P67" s="2" t="s">
        <v>32</v>
      </c>
      <c r="Q67" s="2" t="s">
        <v>23</v>
      </c>
      <c r="R67" s="2" t="s">
        <v>33</v>
      </c>
    </row>
    <row r="68" customFormat="false" ht="72" hidden="false" customHeight="true" outlineLevel="0" collapsed="false">
      <c r="A68" s="2" t="s">
        <v>400</v>
      </c>
      <c r="B68" s="2" t="s">
        <v>369</v>
      </c>
      <c r="C68" s="2" t="s">
        <v>42</v>
      </c>
      <c r="D68" s="2" t="s">
        <v>64</v>
      </c>
      <c r="E68" s="2" t="s">
        <v>43</v>
      </c>
      <c r="F68" s="2" t="s">
        <v>65</v>
      </c>
      <c r="G68" s="2" t="s">
        <v>401</v>
      </c>
      <c r="H68" s="2" t="s">
        <v>402</v>
      </c>
      <c r="I68" s="2" t="s">
        <v>129</v>
      </c>
      <c r="J68" s="2" t="s">
        <v>403</v>
      </c>
      <c r="K68" s="2" t="s">
        <v>404</v>
      </c>
      <c r="L68" s="2" t="s">
        <v>405</v>
      </c>
      <c r="M68" s="2" t="s">
        <v>71</v>
      </c>
      <c r="N68" s="2"/>
      <c r="O68" s="2"/>
      <c r="P68" s="2" t="s">
        <v>86</v>
      </c>
      <c r="Q68" s="2" t="s">
        <v>83</v>
      </c>
      <c r="R68" s="2"/>
    </row>
    <row r="69" customFormat="false" ht="72" hidden="false" customHeight="true" outlineLevel="0" collapsed="false">
      <c r="A69" s="2" t="s">
        <v>406</v>
      </c>
      <c r="B69" s="2" t="s">
        <v>369</v>
      </c>
      <c r="C69" s="2" t="s">
        <v>42</v>
      </c>
      <c r="D69" s="2" t="s">
        <v>64</v>
      </c>
      <c r="E69" s="2" t="s">
        <v>43</v>
      </c>
      <c r="F69" s="2" t="s">
        <v>65</v>
      </c>
      <c r="G69" s="2" t="s">
        <v>401</v>
      </c>
      <c r="H69" s="2" t="s">
        <v>407</v>
      </c>
      <c r="I69" s="2" t="s">
        <v>129</v>
      </c>
      <c r="J69" s="2" t="s">
        <v>408</v>
      </c>
      <c r="K69" s="2" t="s">
        <v>409</v>
      </c>
      <c r="L69" s="2" t="s">
        <v>405</v>
      </c>
      <c r="M69" s="2" t="s">
        <v>71</v>
      </c>
      <c r="N69" s="2"/>
      <c r="O69" s="2"/>
      <c r="P69" s="2" t="s">
        <v>86</v>
      </c>
      <c r="Q69" s="2" t="s">
        <v>83</v>
      </c>
      <c r="R69" s="2"/>
    </row>
    <row r="70" customFormat="false" ht="72" hidden="false" customHeight="true" outlineLevel="0" collapsed="false">
      <c r="A70" s="2" t="s">
        <v>410</v>
      </c>
      <c r="B70" s="2" t="s">
        <v>369</v>
      </c>
      <c r="C70" s="2" t="s">
        <v>42</v>
      </c>
      <c r="D70" s="2" t="s">
        <v>64</v>
      </c>
      <c r="E70" s="2" t="s">
        <v>43</v>
      </c>
      <c r="F70" s="2" t="s">
        <v>65</v>
      </c>
      <c r="G70" s="2" t="s">
        <v>401</v>
      </c>
      <c r="H70" s="2" t="s">
        <v>411</v>
      </c>
      <c r="I70" s="2" t="s">
        <v>129</v>
      </c>
      <c r="J70" s="2" t="s">
        <v>412</v>
      </c>
      <c r="K70" s="2" t="s">
        <v>413</v>
      </c>
      <c r="L70" s="2" t="s">
        <v>414</v>
      </c>
      <c r="M70" s="2" t="s">
        <v>71</v>
      </c>
      <c r="N70" s="2"/>
      <c r="O70" s="2"/>
      <c r="P70" s="2" t="s">
        <v>86</v>
      </c>
      <c r="Q70" s="2" t="s">
        <v>83</v>
      </c>
      <c r="R70" s="2"/>
    </row>
    <row r="71" customFormat="false" ht="72" hidden="false" customHeight="true" outlineLevel="0" collapsed="false">
      <c r="A71" s="2" t="s">
        <v>415</v>
      </c>
      <c r="B71" s="2" t="s">
        <v>369</v>
      </c>
      <c r="C71" s="2" t="s">
        <v>210</v>
      </c>
      <c r="D71" s="2" t="s">
        <v>21</v>
      </c>
      <c r="E71" s="2" t="s">
        <v>23</v>
      </c>
      <c r="F71" s="2" t="s">
        <v>43</v>
      </c>
      <c r="G71" s="2" t="s">
        <v>416</v>
      </c>
      <c r="H71" s="2" t="s">
        <v>417</v>
      </c>
      <c r="I71" s="2" t="s">
        <v>129</v>
      </c>
      <c r="J71" s="2" t="s">
        <v>302</v>
      </c>
      <c r="K71" s="2" t="s">
        <v>418</v>
      </c>
      <c r="L71" s="2" t="s">
        <v>419</v>
      </c>
      <c r="M71" s="2" t="s">
        <v>30</v>
      </c>
      <c r="N71" s="2" t="s">
        <v>31</v>
      </c>
      <c r="O71" s="2"/>
      <c r="P71" s="2" t="s">
        <v>32</v>
      </c>
      <c r="Q71" s="2" t="s">
        <v>23</v>
      </c>
      <c r="R71" s="2" t="s">
        <v>33</v>
      </c>
    </row>
    <row r="72" customFormat="false" ht="72" hidden="false" customHeight="true" outlineLevel="0" collapsed="false">
      <c r="A72" s="2" t="s">
        <v>420</v>
      </c>
      <c r="B72" s="2" t="s">
        <v>369</v>
      </c>
      <c r="C72" s="2" t="s">
        <v>256</v>
      </c>
      <c r="D72" s="2" t="s">
        <v>64</v>
      </c>
      <c r="E72" s="2" t="s">
        <v>43</v>
      </c>
      <c r="F72" s="2" t="s">
        <v>65</v>
      </c>
      <c r="G72" s="2" t="s">
        <v>401</v>
      </c>
      <c r="H72" s="2" t="s">
        <v>421</v>
      </c>
      <c r="I72" s="2" t="s">
        <v>129</v>
      </c>
      <c r="J72" s="2" t="s">
        <v>381</v>
      </c>
      <c r="K72" s="2" t="s">
        <v>422</v>
      </c>
      <c r="L72" s="2" t="s">
        <v>423</v>
      </c>
      <c r="M72" s="2" t="s">
        <v>71</v>
      </c>
      <c r="N72" s="2"/>
      <c r="O72" s="2"/>
      <c r="P72" s="2" t="s">
        <v>86</v>
      </c>
      <c r="Q72" s="2" t="s">
        <v>83</v>
      </c>
      <c r="R72" s="2"/>
    </row>
    <row r="73" customFormat="false" ht="72" hidden="false" customHeight="true" outlineLevel="0" collapsed="false">
      <c r="A73" s="2" t="s">
        <v>424</v>
      </c>
      <c r="B73" s="2" t="s">
        <v>369</v>
      </c>
      <c r="C73" s="2" t="s">
        <v>79</v>
      </c>
      <c r="D73" s="2" t="s">
        <v>80</v>
      </c>
      <c r="E73" s="2" t="s">
        <v>43</v>
      </c>
      <c r="F73" s="2" t="s">
        <v>65</v>
      </c>
      <c r="G73" s="2" t="s">
        <v>425</v>
      </c>
      <c r="H73" s="2" t="s">
        <v>426</v>
      </c>
      <c r="I73" s="2" t="s">
        <v>129</v>
      </c>
      <c r="J73" s="2" t="s">
        <v>83</v>
      </c>
      <c r="K73" s="2" t="s">
        <v>427</v>
      </c>
      <c r="L73" s="2" t="s">
        <v>428</v>
      </c>
      <c r="M73" s="2" t="s">
        <v>71</v>
      </c>
      <c r="N73" s="2"/>
      <c r="O73" s="2"/>
      <c r="P73" s="2" t="s">
        <v>72</v>
      </c>
      <c r="Q73" s="2" t="s">
        <v>65</v>
      </c>
      <c r="R73" s="2"/>
    </row>
    <row r="74" customFormat="false" ht="72" hidden="false" customHeight="true" outlineLevel="0" collapsed="false">
      <c r="A74" s="2" t="s">
        <v>429</v>
      </c>
      <c r="B74" s="2" t="s">
        <v>369</v>
      </c>
      <c r="C74" s="2" t="s">
        <v>226</v>
      </c>
      <c r="D74" s="2" t="s">
        <v>35</v>
      </c>
      <c r="E74" s="2" t="s">
        <v>23</v>
      </c>
      <c r="F74" s="2" t="s">
        <v>23</v>
      </c>
      <c r="G74" s="2" t="s">
        <v>390</v>
      </c>
      <c r="H74" s="2" t="s">
        <v>430</v>
      </c>
      <c r="I74" s="2" t="s">
        <v>229</v>
      </c>
      <c r="J74" s="2" t="s">
        <v>431</v>
      </c>
      <c r="K74" s="2" t="s">
        <v>432</v>
      </c>
      <c r="L74" s="2" t="s">
        <v>282</v>
      </c>
      <c r="M74" s="2" t="s">
        <v>71</v>
      </c>
      <c r="N74" s="2"/>
      <c r="O74" s="2"/>
      <c r="P74" s="2" t="s">
        <v>72</v>
      </c>
      <c r="Q74" s="2" t="s">
        <v>43</v>
      </c>
      <c r="R74" s="2"/>
    </row>
    <row r="75" customFormat="false" ht="72" hidden="false" customHeight="true" outlineLevel="0" collapsed="false">
      <c r="A75" s="2" t="s">
        <v>433</v>
      </c>
      <c r="B75" s="2" t="s">
        <v>369</v>
      </c>
      <c r="C75" s="2" t="s">
        <v>256</v>
      </c>
      <c r="D75" s="2" t="s">
        <v>64</v>
      </c>
      <c r="E75" s="2" t="s">
        <v>43</v>
      </c>
      <c r="F75" s="2" t="s">
        <v>65</v>
      </c>
      <c r="G75" s="2" t="s">
        <v>401</v>
      </c>
      <c r="H75" s="2" t="s">
        <v>434</v>
      </c>
      <c r="I75" s="2" t="s">
        <v>129</v>
      </c>
      <c r="J75" s="2" t="s">
        <v>302</v>
      </c>
      <c r="K75" s="2" t="s">
        <v>435</v>
      </c>
      <c r="L75" s="2" t="s">
        <v>436</v>
      </c>
      <c r="M75" s="2" t="s">
        <v>71</v>
      </c>
      <c r="N75" s="2"/>
      <c r="O75" s="2"/>
      <c r="P75" s="2" t="s">
        <v>72</v>
      </c>
      <c r="Q75" s="2" t="s">
        <v>65</v>
      </c>
      <c r="R75" s="2"/>
    </row>
    <row r="76" customFormat="false" ht="72" hidden="false" customHeight="true" outlineLevel="0" collapsed="false">
      <c r="A76" s="2" t="s">
        <v>437</v>
      </c>
      <c r="B76" s="2" t="s">
        <v>438</v>
      </c>
      <c r="C76" s="2" t="s">
        <v>126</v>
      </c>
      <c r="D76" s="2" t="s">
        <v>21</v>
      </c>
      <c r="E76" s="2" t="s">
        <v>22</v>
      </c>
      <c r="F76" s="2" t="s">
        <v>23</v>
      </c>
      <c r="G76" s="2" t="s">
        <v>370</v>
      </c>
      <c r="H76" s="2" t="s">
        <v>439</v>
      </c>
      <c r="I76" s="2" t="s">
        <v>129</v>
      </c>
      <c r="J76" s="2" t="s">
        <v>397</v>
      </c>
      <c r="K76" s="2" t="s">
        <v>440</v>
      </c>
      <c r="L76" s="2" t="s">
        <v>441</v>
      </c>
      <c r="M76" s="2" t="s">
        <v>30</v>
      </c>
      <c r="N76" s="2" t="s">
        <v>31</v>
      </c>
      <c r="O76" s="2"/>
      <c r="P76" s="2" t="s">
        <v>32</v>
      </c>
      <c r="Q76" s="2" t="s">
        <v>23</v>
      </c>
      <c r="R76" s="2" t="s">
        <v>33</v>
      </c>
    </row>
    <row r="77" customFormat="false" ht="72" hidden="false" customHeight="true" outlineLevel="0" collapsed="false">
      <c r="A77" s="2" t="s">
        <v>442</v>
      </c>
      <c r="B77" s="2" t="s">
        <v>438</v>
      </c>
      <c r="C77" s="2" t="s">
        <v>443</v>
      </c>
      <c r="D77" s="2" t="s">
        <v>21</v>
      </c>
      <c r="E77" s="2" t="s">
        <v>22</v>
      </c>
      <c r="F77" s="2" t="s">
        <v>23</v>
      </c>
      <c r="G77" s="2" t="s">
        <v>444</v>
      </c>
      <c r="H77" s="2" t="s">
        <v>445</v>
      </c>
      <c r="I77" s="2" t="s">
        <v>129</v>
      </c>
      <c r="J77" s="2" t="s">
        <v>302</v>
      </c>
      <c r="K77" s="2" t="s">
        <v>446</v>
      </c>
      <c r="L77" s="2" t="s">
        <v>447</v>
      </c>
      <c r="M77" s="2" t="s">
        <v>30</v>
      </c>
      <c r="N77" s="2" t="s">
        <v>31</v>
      </c>
      <c r="O77" s="2"/>
      <c r="P77" s="2" t="s">
        <v>32</v>
      </c>
      <c r="Q77" s="2" t="s">
        <v>23</v>
      </c>
      <c r="R77" s="2" t="s">
        <v>33</v>
      </c>
    </row>
    <row r="78" customFormat="false" ht="72" hidden="false" customHeight="true" outlineLevel="0" collapsed="false">
      <c r="A78" s="2" t="s">
        <v>448</v>
      </c>
      <c r="B78" s="2" t="s">
        <v>438</v>
      </c>
      <c r="C78" s="2" t="s">
        <v>443</v>
      </c>
      <c r="D78" s="2" t="s">
        <v>21</v>
      </c>
      <c r="E78" s="2" t="s">
        <v>23</v>
      </c>
      <c r="F78" s="2" t="s">
        <v>23</v>
      </c>
      <c r="G78" s="2" t="s">
        <v>444</v>
      </c>
      <c r="H78" s="2" t="s">
        <v>449</v>
      </c>
      <c r="I78" s="2" t="s">
        <v>129</v>
      </c>
      <c r="J78" s="2" t="s">
        <v>166</v>
      </c>
      <c r="K78" s="2" t="s">
        <v>450</v>
      </c>
      <c r="L78" s="2" t="s">
        <v>451</v>
      </c>
      <c r="M78" s="2" t="s">
        <v>30</v>
      </c>
      <c r="N78" s="2" t="s">
        <v>31</v>
      </c>
      <c r="O78" s="2"/>
      <c r="P78" s="2" t="s">
        <v>32</v>
      </c>
      <c r="Q78" s="2" t="s">
        <v>23</v>
      </c>
      <c r="R78" s="2" t="s">
        <v>33</v>
      </c>
    </row>
    <row r="79" customFormat="false" ht="72" hidden="false" customHeight="true" outlineLevel="0" collapsed="false">
      <c r="A79" s="2" t="s">
        <v>452</v>
      </c>
      <c r="B79" s="2" t="s">
        <v>438</v>
      </c>
      <c r="C79" s="2" t="s">
        <v>453</v>
      </c>
      <c r="D79" s="2" t="s">
        <v>21</v>
      </c>
      <c r="E79" s="2" t="s">
        <v>22</v>
      </c>
      <c r="F79" s="2" t="s">
        <v>23</v>
      </c>
      <c r="G79" s="2" t="s">
        <v>454</v>
      </c>
      <c r="H79" s="2" t="s">
        <v>455</v>
      </c>
      <c r="I79" s="2" t="s">
        <v>129</v>
      </c>
      <c r="J79" s="2" t="s">
        <v>456</v>
      </c>
      <c r="K79" s="2" t="s">
        <v>457</v>
      </c>
      <c r="L79" s="2" t="s">
        <v>458</v>
      </c>
      <c r="M79" s="2" t="s">
        <v>30</v>
      </c>
      <c r="N79" s="2" t="s">
        <v>31</v>
      </c>
      <c r="O79" s="2"/>
      <c r="P79" s="2" t="s">
        <v>32</v>
      </c>
      <c r="Q79" s="2" t="s">
        <v>23</v>
      </c>
      <c r="R79" s="2" t="s">
        <v>33</v>
      </c>
    </row>
    <row r="80" customFormat="false" ht="72" hidden="false" customHeight="true" outlineLevel="0" collapsed="false">
      <c r="A80" s="2" t="s">
        <v>459</v>
      </c>
      <c r="B80" s="2" t="s">
        <v>438</v>
      </c>
      <c r="C80" s="2" t="s">
        <v>453</v>
      </c>
      <c r="D80" s="2" t="s">
        <v>21</v>
      </c>
      <c r="E80" s="2" t="s">
        <v>22</v>
      </c>
      <c r="F80" s="2" t="s">
        <v>23</v>
      </c>
      <c r="G80" s="2" t="s">
        <v>454</v>
      </c>
      <c r="H80" s="2" t="s">
        <v>460</v>
      </c>
      <c r="I80" s="2" t="s">
        <v>129</v>
      </c>
      <c r="J80" s="2" t="s">
        <v>461</v>
      </c>
      <c r="K80" s="2" t="s">
        <v>462</v>
      </c>
      <c r="L80" s="2" t="s">
        <v>463</v>
      </c>
      <c r="M80" s="2" t="s">
        <v>30</v>
      </c>
      <c r="N80" s="2" t="s">
        <v>31</v>
      </c>
      <c r="O80" s="2"/>
      <c r="P80" s="2" t="s">
        <v>32</v>
      </c>
      <c r="Q80" s="2" t="s">
        <v>43</v>
      </c>
      <c r="R80" s="2" t="s">
        <v>33</v>
      </c>
    </row>
    <row r="81" customFormat="false" ht="72" hidden="false" customHeight="true" outlineLevel="0" collapsed="false">
      <c r="A81" s="2" t="s">
        <v>464</v>
      </c>
      <c r="B81" s="2" t="s">
        <v>438</v>
      </c>
      <c r="C81" s="2" t="s">
        <v>453</v>
      </c>
      <c r="D81" s="2" t="s">
        <v>21</v>
      </c>
      <c r="E81" s="2" t="s">
        <v>22</v>
      </c>
      <c r="F81" s="2" t="s">
        <v>23</v>
      </c>
      <c r="G81" s="2" t="s">
        <v>454</v>
      </c>
      <c r="H81" s="2" t="s">
        <v>465</v>
      </c>
      <c r="I81" s="2" t="s">
        <v>129</v>
      </c>
      <c r="J81" s="2" t="s">
        <v>466</v>
      </c>
      <c r="K81" s="2" t="s">
        <v>467</v>
      </c>
      <c r="L81" s="2" t="s">
        <v>468</v>
      </c>
      <c r="M81" s="2" t="s">
        <v>30</v>
      </c>
      <c r="N81" s="2" t="s">
        <v>31</v>
      </c>
      <c r="O81" s="2"/>
      <c r="P81" s="2" t="s">
        <v>32</v>
      </c>
      <c r="Q81" s="2" t="s">
        <v>23</v>
      </c>
      <c r="R81" s="2" t="s">
        <v>33</v>
      </c>
    </row>
    <row r="82" customFormat="false" ht="72" hidden="false" customHeight="true" outlineLevel="0" collapsed="false">
      <c r="A82" s="2" t="s">
        <v>469</v>
      </c>
      <c r="B82" s="2" t="s">
        <v>438</v>
      </c>
      <c r="C82" s="2" t="s">
        <v>470</v>
      </c>
      <c r="D82" s="2" t="s">
        <v>80</v>
      </c>
      <c r="E82" s="2" t="s">
        <v>23</v>
      </c>
      <c r="F82" s="2" t="s">
        <v>43</v>
      </c>
      <c r="G82" s="2" t="s">
        <v>416</v>
      </c>
      <c r="H82" s="2" t="s">
        <v>471</v>
      </c>
      <c r="I82" s="2" t="s">
        <v>129</v>
      </c>
      <c r="J82" s="2" t="s">
        <v>472</v>
      </c>
      <c r="K82" s="2" t="s">
        <v>473</v>
      </c>
      <c r="L82" s="2" t="s">
        <v>474</v>
      </c>
      <c r="M82" s="2" t="s">
        <v>30</v>
      </c>
      <c r="N82" s="2" t="s">
        <v>31</v>
      </c>
      <c r="O82" s="2"/>
      <c r="P82" s="2" t="s">
        <v>32</v>
      </c>
      <c r="Q82" s="2" t="s">
        <v>43</v>
      </c>
      <c r="R82" s="2" t="s">
        <v>33</v>
      </c>
    </row>
    <row r="83" customFormat="false" ht="72" hidden="false" customHeight="true" outlineLevel="0" collapsed="false">
      <c r="A83" s="2" t="s">
        <v>475</v>
      </c>
      <c r="B83" s="2" t="s">
        <v>438</v>
      </c>
      <c r="C83" s="2" t="s">
        <v>476</v>
      </c>
      <c r="D83" s="2" t="s">
        <v>80</v>
      </c>
      <c r="E83" s="2" t="s">
        <v>23</v>
      </c>
      <c r="F83" s="2" t="s">
        <v>43</v>
      </c>
      <c r="G83" s="2" t="s">
        <v>416</v>
      </c>
      <c r="H83" s="2" t="s">
        <v>477</v>
      </c>
      <c r="I83" s="2" t="s">
        <v>129</v>
      </c>
      <c r="J83" s="2" t="s">
        <v>478</v>
      </c>
      <c r="K83" s="2" t="s">
        <v>479</v>
      </c>
      <c r="L83" s="2" t="s">
        <v>480</v>
      </c>
      <c r="M83" s="2" t="s">
        <v>30</v>
      </c>
      <c r="N83" s="2" t="s">
        <v>31</v>
      </c>
      <c r="O83" s="2"/>
      <c r="P83" s="2" t="s">
        <v>32</v>
      </c>
      <c r="Q83" s="2" t="s">
        <v>43</v>
      </c>
      <c r="R83" s="2" t="s">
        <v>33</v>
      </c>
    </row>
    <row r="84" customFormat="false" ht="72" hidden="false" customHeight="true" outlineLevel="0" collapsed="false">
      <c r="A84" s="2" t="s">
        <v>481</v>
      </c>
      <c r="B84" s="2" t="s">
        <v>438</v>
      </c>
      <c r="C84" s="2" t="s">
        <v>210</v>
      </c>
      <c r="D84" s="2" t="s">
        <v>21</v>
      </c>
      <c r="E84" s="2" t="s">
        <v>23</v>
      </c>
      <c r="F84" s="2" t="s">
        <v>43</v>
      </c>
      <c r="G84" s="2" t="s">
        <v>416</v>
      </c>
      <c r="H84" s="2" t="s">
        <v>482</v>
      </c>
      <c r="I84" s="2" t="s">
        <v>129</v>
      </c>
      <c r="J84" s="2" t="s">
        <v>302</v>
      </c>
      <c r="K84" s="2" t="s">
        <v>483</v>
      </c>
      <c r="L84" s="2" t="s">
        <v>484</v>
      </c>
      <c r="M84" s="2" t="s">
        <v>30</v>
      </c>
      <c r="N84" s="2" t="s">
        <v>31</v>
      </c>
      <c r="O84" s="2"/>
      <c r="P84" s="2" t="s">
        <v>32</v>
      </c>
      <c r="Q84" s="2" t="s">
        <v>43</v>
      </c>
      <c r="R84" s="2" t="s">
        <v>33</v>
      </c>
    </row>
    <row r="85" customFormat="false" ht="72" hidden="false" customHeight="true" outlineLevel="0" collapsed="false">
      <c r="A85" s="2" t="s">
        <v>485</v>
      </c>
      <c r="B85" s="2" t="s">
        <v>438</v>
      </c>
      <c r="C85" s="2" t="s">
        <v>486</v>
      </c>
      <c r="D85" s="2" t="s">
        <v>21</v>
      </c>
      <c r="E85" s="2" t="s">
        <v>22</v>
      </c>
      <c r="F85" s="2" t="s">
        <v>23</v>
      </c>
      <c r="G85" s="2" t="s">
        <v>370</v>
      </c>
      <c r="H85" s="2" t="s">
        <v>487</v>
      </c>
      <c r="I85" s="2" t="s">
        <v>129</v>
      </c>
      <c r="J85" s="2" t="s">
        <v>302</v>
      </c>
      <c r="K85" s="2" t="s">
        <v>488</v>
      </c>
      <c r="L85" s="2" t="s">
        <v>489</v>
      </c>
      <c r="M85" s="2" t="s">
        <v>30</v>
      </c>
      <c r="N85" s="2" t="s">
        <v>31</v>
      </c>
      <c r="O85" s="2"/>
      <c r="P85" s="2" t="s">
        <v>32</v>
      </c>
      <c r="Q85" s="2" t="s">
        <v>23</v>
      </c>
      <c r="R85" s="2" t="s">
        <v>33</v>
      </c>
    </row>
    <row r="86" customFormat="false" ht="72" hidden="false" customHeight="true" outlineLevel="0" collapsed="false">
      <c r="A86" s="2" t="s">
        <v>490</v>
      </c>
      <c r="B86" s="2" t="s">
        <v>438</v>
      </c>
      <c r="C86" s="2" t="s">
        <v>226</v>
      </c>
      <c r="D86" s="2" t="s">
        <v>35</v>
      </c>
      <c r="E86" s="2" t="s">
        <v>23</v>
      </c>
      <c r="F86" s="2" t="s">
        <v>23</v>
      </c>
      <c r="G86" s="2" t="s">
        <v>390</v>
      </c>
      <c r="H86" s="2" t="s">
        <v>491</v>
      </c>
      <c r="I86" s="2" t="s">
        <v>229</v>
      </c>
      <c r="J86" s="2" t="s">
        <v>492</v>
      </c>
      <c r="K86" s="2" t="s">
        <v>493</v>
      </c>
      <c r="L86" s="2" t="s">
        <v>282</v>
      </c>
      <c r="M86" s="2" t="s">
        <v>71</v>
      </c>
      <c r="N86" s="2"/>
      <c r="O86" s="2"/>
      <c r="P86" s="2" t="s">
        <v>72</v>
      </c>
      <c r="Q86" s="2" t="s">
        <v>43</v>
      </c>
      <c r="R86" s="2"/>
    </row>
    <row r="87" customFormat="false" ht="72" hidden="false" customHeight="true" outlineLevel="0" collapsed="false">
      <c r="A87" s="2" t="s">
        <v>494</v>
      </c>
      <c r="B87" s="2" t="s">
        <v>438</v>
      </c>
      <c r="C87" s="2" t="s">
        <v>256</v>
      </c>
      <c r="D87" s="2" t="s">
        <v>64</v>
      </c>
      <c r="E87" s="2" t="s">
        <v>43</v>
      </c>
      <c r="F87" s="2" t="s">
        <v>65</v>
      </c>
      <c r="G87" s="2" t="s">
        <v>401</v>
      </c>
      <c r="H87" s="2" t="s">
        <v>495</v>
      </c>
      <c r="I87" s="2" t="s">
        <v>129</v>
      </c>
      <c r="J87" s="2" t="s">
        <v>302</v>
      </c>
      <c r="K87" s="2" t="s">
        <v>496</v>
      </c>
      <c r="L87" s="2" t="s">
        <v>497</v>
      </c>
      <c r="M87" s="2" t="s">
        <v>71</v>
      </c>
      <c r="N87" s="2"/>
      <c r="O87" s="2"/>
      <c r="P87" s="2" t="s">
        <v>86</v>
      </c>
      <c r="Q87" s="2" t="s">
        <v>83</v>
      </c>
      <c r="R87" s="2"/>
    </row>
    <row r="88" customFormat="false" ht="72" hidden="false" customHeight="true" outlineLevel="0" collapsed="false">
      <c r="A88" s="2" t="s">
        <v>498</v>
      </c>
      <c r="B88" s="2" t="s">
        <v>499</v>
      </c>
      <c r="C88" s="2" t="s">
        <v>500</v>
      </c>
      <c r="D88" s="2" t="s">
        <v>21</v>
      </c>
      <c r="E88" s="2" t="s">
        <v>22</v>
      </c>
      <c r="F88" s="2" t="s">
        <v>23</v>
      </c>
      <c r="G88" s="2" t="s">
        <v>501</v>
      </c>
      <c r="H88" s="2" t="s">
        <v>502</v>
      </c>
      <c r="I88" s="2" t="s">
        <v>129</v>
      </c>
      <c r="J88" s="2" t="s">
        <v>302</v>
      </c>
      <c r="K88" s="2" t="s">
        <v>503</v>
      </c>
      <c r="L88" s="2" t="s">
        <v>504</v>
      </c>
      <c r="M88" s="2" t="s">
        <v>30</v>
      </c>
      <c r="N88" s="2" t="s">
        <v>31</v>
      </c>
      <c r="O88" s="2"/>
      <c r="P88" s="2" t="s">
        <v>32</v>
      </c>
      <c r="Q88" s="2" t="s">
        <v>23</v>
      </c>
      <c r="R88" s="2" t="s">
        <v>33</v>
      </c>
    </row>
    <row r="89" customFormat="false" ht="72" hidden="false" customHeight="true" outlineLevel="0" collapsed="false">
      <c r="A89" s="2" t="s">
        <v>505</v>
      </c>
      <c r="B89" s="2" t="s">
        <v>499</v>
      </c>
      <c r="C89" s="2" t="s">
        <v>500</v>
      </c>
      <c r="D89" s="2" t="s">
        <v>80</v>
      </c>
      <c r="E89" s="2" t="s">
        <v>23</v>
      </c>
      <c r="F89" s="2" t="s">
        <v>43</v>
      </c>
      <c r="G89" s="2" t="s">
        <v>425</v>
      </c>
      <c r="H89" s="2" t="s">
        <v>506</v>
      </c>
      <c r="I89" s="2" t="s">
        <v>129</v>
      </c>
      <c r="J89" s="2" t="s">
        <v>302</v>
      </c>
      <c r="K89" s="2" t="s">
        <v>507</v>
      </c>
      <c r="L89" s="2" t="s">
        <v>508</v>
      </c>
      <c r="M89" s="2" t="s">
        <v>71</v>
      </c>
      <c r="N89" s="2"/>
      <c r="O89" s="2"/>
      <c r="P89" s="2" t="s">
        <v>72</v>
      </c>
      <c r="Q89" s="2" t="s">
        <v>65</v>
      </c>
      <c r="R89" s="2"/>
    </row>
    <row r="90" customFormat="false" ht="72" hidden="false" customHeight="true" outlineLevel="0" collapsed="false">
      <c r="A90" s="2" t="s">
        <v>509</v>
      </c>
      <c r="B90" s="2" t="s">
        <v>499</v>
      </c>
      <c r="C90" s="2" t="s">
        <v>210</v>
      </c>
      <c r="D90" s="2" t="s">
        <v>21</v>
      </c>
      <c r="E90" s="2" t="s">
        <v>23</v>
      </c>
      <c r="F90" s="2" t="s">
        <v>43</v>
      </c>
      <c r="G90" s="2" t="s">
        <v>416</v>
      </c>
      <c r="H90" s="2" t="s">
        <v>510</v>
      </c>
      <c r="I90" s="2" t="s">
        <v>129</v>
      </c>
      <c r="J90" s="2" t="s">
        <v>302</v>
      </c>
      <c r="K90" s="2" t="s">
        <v>511</v>
      </c>
      <c r="L90" s="2" t="s">
        <v>512</v>
      </c>
      <c r="M90" s="2" t="s">
        <v>30</v>
      </c>
      <c r="N90" s="2" t="s">
        <v>31</v>
      </c>
      <c r="O90" s="2"/>
      <c r="P90" s="2" t="s">
        <v>32</v>
      </c>
      <c r="Q90" s="2" t="s">
        <v>23</v>
      </c>
      <c r="R90" s="2" t="s">
        <v>33</v>
      </c>
    </row>
    <row r="91" customFormat="false" ht="72" hidden="false" customHeight="true" outlineLevel="0" collapsed="false">
      <c r="A91" s="2" t="s">
        <v>513</v>
      </c>
      <c r="B91" s="2" t="s">
        <v>499</v>
      </c>
      <c r="C91" s="2" t="s">
        <v>256</v>
      </c>
      <c r="D91" s="2" t="s">
        <v>21</v>
      </c>
      <c r="E91" s="2" t="s">
        <v>23</v>
      </c>
      <c r="F91" s="2" t="s">
        <v>43</v>
      </c>
      <c r="G91" s="2" t="s">
        <v>514</v>
      </c>
      <c r="H91" s="2" t="s">
        <v>515</v>
      </c>
      <c r="I91" s="2" t="s">
        <v>129</v>
      </c>
      <c r="J91" s="2" t="s">
        <v>302</v>
      </c>
      <c r="K91" s="2" t="s">
        <v>516</v>
      </c>
      <c r="L91" s="2" t="s">
        <v>517</v>
      </c>
      <c r="M91" s="2" t="s">
        <v>30</v>
      </c>
      <c r="N91" s="2" t="s">
        <v>31</v>
      </c>
      <c r="O91" s="2"/>
      <c r="P91" s="2" t="s">
        <v>32</v>
      </c>
      <c r="Q91" s="2" t="s">
        <v>23</v>
      </c>
      <c r="R91" s="2" t="s">
        <v>33</v>
      </c>
    </row>
    <row r="92" customFormat="false" ht="72" hidden="false" customHeight="true" outlineLevel="0" collapsed="false">
      <c r="A92" s="2" t="s">
        <v>518</v>
      </c>
      <c r="B92" s="2" t="s">
        <v>499</v>
      </c>
      <c r="C92" s="2" t="s">
        <v>268</v>
      </c>
      <c r="D92" s="2" t="s">
        <v>64</v>
      </c>
      <c r="E92" s="2" t="s">
        <v>43</v>
      </c>
      <c r="F92" s="2" t="s">
        <v>65</v>
      </c>
      <c r="G92" s="2" t="s">
        <v>401</v>
      </c>
      <c r="H92" s="2" t="s">
        <v>519</v>
      </c>
      <c r="I92" s="2" t="s">
        <v>129</v>
      </c>
      <c r="J92" s="2" t="s">
        <v>520</v>
      </c>
      <c r="K92" s="2" t="s">
        <v>521</v>
      </c>
      <c r="L92" s="2" t="s">
        <v>522</v>
      </c>
      <c r="M92" s="2" t="s">
        <v>71</v>
      </c>
      <c r="N92" s="2"/>
      <c r="O92" s="2"/>
      <c r="P92" s="2" t="s">
        <v>86</v>
      </c>
      <c r="Q92" s="2" t="s">
        <v>83</v>
      </c>
      <c r="R92" s="2"/>
    </row>
    <row r="93" customFormat="false" ht="72" hidden="false" customHeight="true" outlineLevel="0" collapsed="false">
      <c r="A93" s="2" t="s">
        <v>523</v>
      </c>
      <c r="B93" s="2" t="s">
        <v>499</v>
      </c>
      <c r="C93" s="2" t="s">
        <v>226</v>
      </c>
      <c r="D93" s="2" t="s">
        <v>35</v>
      </c>
      <c r="E93" s="2" t="s">
        <v>23</v>
      </c>
      <c r="F93" s="2" t="s">
        <v>23</v>
      </c>
      <c r="G93" s="2" t="s">
        <v>390</v>
      </c>
      <c r="H93" s="2" t="s">
        <v>524</v>
      </c>
      <c r="I93" s="2" t="s">
        <v>229</v>
      </c>
      <c r="J93" s="2" t="s">
        <v>520</v>
      </c>
      <c r="K93" s="2" t="s">
        <v>525</v>
      </c>
      <c r="L93" s="2" t="s">
        <v>282</v>
      </c>
      <c r="M93" s="2" t="s">
        <v>71</v>
      </c>
      <c r="N93" s="2"/>
      <c r="O93" s="2"/>
      <c r="P93" s="2" t="s">
        <v>72</v>
      </c>
      <c r="Q93" s="2" t="s">
        <v>43</v>
      </c>
      <c r="R93" s="2"/>
    </row>
    <row r="94" customFormat="false" ht="72" hidden="false" customHeight="true" outlineLevel="0" collapsed="false">
      <c r="A94" s="2" t="s">
        <v>526</v>
      </c>
      <c r="B94" s="2" t="s">
        <v>499</v>
      </c>
      <c r="C94" s="2" t="s">
        <v>527</v>
      </c>
      <c r="D94" s="2" t="s">
        <v>64</v>
      </c>
      <c r="E94" s="2" t="s">
        <v>43</v>
      </c>
      <c r="F94" s="2" t="s">
        <v>65</v>
      </c>
      <c r="G94" s="2" t="s">
        <v>401</v>
      </c>
      <c r="H94" s="2" t="s">
        <v>528</v>
      </c>
      <c r="I94" s="2" t="s">
        <v>129</v>
      </c>
      <c r="J94" s="2" t="s">
        <v>302</v>
      </c>
      <c r="K94" s="2" t="s">
        <v>529</v>
      </c>
      <c r="L94" s="2" t="s">
        <v>530</v>
      </c>
      <c r="M94" s="2" t="s">
        <v>71</v>
      </c>
      <c r="N94" s="2"/>
      <c r="O94" s="2"/>
      <c r="P94" s="2" t="s">
        <v>86</v>
      </c>
      <c r="Q94" s="2" t="s">
        <v>83</v>
      </c>
      <c r="R94" s="2"/>
    </row>
    <row r="95" customFormat="false" ht="72" hidden="false" customHeight="true" outlineLevel="0" collapsed="false">
      <c r="A95" s="2" t="s">
        <v>531</v>
      </c>
      <c r="B95" s="2" t="s">
        <v>532</v>
      </c>
      <c r="C95" s="2" t="s">
        <v>533</v>
      </c>
      <c r="D95" s="2" t="s">
        <v>21</v>
      </c>
      <c r="E95" s="2" t="s">
        <v>23</v>
      </c>
      <c r="F95" s="2" t="s">
        <v>43</v>
      </c>
      <c r="G95" s="2" t="s">
        <v>534</v>
      </c>
      <c r="H95" s="2" t="s">
        <v>535</v>
      </c>
      <c r="I95" s="2" t="s">
        <v>129</v>
      </c>
      <c r="J95" s="2" t="s">
        <v>83</v>
      </c>
      <c r="K95" s="2" t="s">
        <v>536</v>
      </c>
      <c r="L95" s="2" t="s">
        <v>537</v>
      </c>
      <c r="M95" s="2" t="s">
        <v>30</v>
      </c>
      <c r="N95" s="2" t="s">
        <v>31</v>
      </c>
      <c r="O95" s="2"/>
      <c r="P95" s="2" t="s">
        <v>32</v>
      </c>
      <c r="Q95" s="2" t="s">
        <v>43</v>
      </c>
      <c r="R95" s="2" t="s">
        <v>33</v>
      </c>
    </row>
    <row r="96" customFormat="false" ht="72" hidden="false" customHeight="true" outlineLevel="0" collapsed="false">
      <c r="A96" s="2" t="s">
        <v>538</v>
      </c>
      <c r="B96" s="2" t="s">
        <v>532</v>
      </c>
      <c r="C96" s="2" t="s">
        <v>533</v>
      </c>
      <c r="D96" s="2" t="s">
        <v>21</v>
      </c>
      <c r="E96" s="2" t="s">
        <v>43</v>
      </c>
      <c r="F96" s="2" t="s">
        <v>65</v>
      </c>
      <c r="G96" s="2" t="s">
        <v>539</v>
      </c>
      <c r="H96" s="2" t="s">
        <v>540</v>
      </c>
      <c r="I96" s="2" t="s">
        <v>129</v>
      </c>
      <c r="J96" s="2" t="s">
        <v>83</v>
      </c>
      <c r="K96" s="2" t="s">
        <v>541</v>
      </c>
      <c r="L96" s="2" t="s">
        <v>542</v>
      </c>
      <c r="M96" s="2" t="s">
        <v>30</v>
      </c>
      <c r="N96" s="2" t="s">
        <v>31</v>
      </c>
      <c r="O96" s="2"/>
      <c r="P96" s="2" t="s">
        <v>32</v>
      </c>
      <c r="Q96" s="2" t="s">
        <v>65</v>
      </c>
      <c r="R96" s="2" t="s">
        <v>33</v>
      </c>
    </row>
    <row r="97" customFormat="false" ht="72" hidden="false" customHeight="true" outlineLevel="0" collapsed="false">
      <c r="A97" s="2" t="s">
        <v>543</v>
      </c>
      <c r="B97" s="2" t="s">
        <v>532</v>
      </c>
      <c r="C97" s="2" t="s">
        <v>544</v>
      </c>
      <c r="D97" s="2" t="s">
        <v>21</v>
      </c>
      <c r="E97" s="2" t="s">
        <v>23</v>
      </c>
      <c r="F97" s="2" t="s">
        <v>43</v>
      </c>
      <c r="G97" s="2" t="s">
        <v>539</v>
      </c>
      <c r="H97" s="2" t="s">
        <v>545</v>
      </c>
      <c r="I97" s="2" t="s">
        <v>129</v>
      </c>
      <c r="J97" s="2" t="s">
        <v>546</v>
      </c>
      <c r="K97" s="2" t="s">
        <v>547</v>
      </c>
      <c r="L97" s="2" t="s">
        <v>548</v>
      </c>
      <c r="M97" s="2" t="s">
        <v>30</v>
      </c>
      <c r="N97" s="2" t="s">
        <v>31</v>
      </c>
      <c r="O97" s="2"/>
      <c r="P97" s="2" t="s">
        <v>32</v>
      </c>
      <c r="Q97" s="2" t="s">
        <v>43</v>
      </c>
      <c r="R97" s="2" t="s">
        <v>33</v>
      </c>
    </row>
    <row r="98" customFormat="false" ht="72" hidden="false" customHeight="true" outlineLevel="0" collapsed="false">
      <c r="A98" s="2" t="s">
        <v>549</v>
      </c>
      <c r="B98" s="2" t="s">
        <v>532</v>
      </c>
      <c r="C98" s="2" t="s">
        <v>550</v>
      </c>
      <c r="D98" s="2" t="s">
        <v>21</v>
      </c>
      <c r="E98" s="2" t="s">
        <v>43</v>
      </c>
      <c r="F98" s="2" t="s">
        <v>65</v>
      </c>
      <c r="G98" s="2" t="s">
        <v>539</v>
      </c>
      <c r="H98" s="2" t="s">
        <v>551</v>
      </c>
      <c r="I98" s="2" t="s">
        <v>129</v>
      </c>
      <c r="J98" s="2" t="s">
        <v>552</v>
      </c>
      <c r="K98" s="2" t="s">
        <v>553</v>
      </c>
      <c r="L98" s="2" t="s">
        <v>554</v>
      </c>
      <c r="M98" s="2" t="s">
        <v>71</v>
      </c>
      <c r="N98" s="2"/>
      <c r="O98" s="2"/>
      <c r="P98" s="2" t="s">
        <v>86</v>
      </c>
      <c r="Q98" s="2" t="s">
        <v>83</v>
      </c>
      <c r="R98" s="2"/>
    </row>
    <row r="99" customFormat="false" ht="72" hidden="false" customHeight="true" outlineLevel="0" collapsed="false">
      <c r="A99" s="2" t="s">
        <v>555</v>
      </c>
      <c r="B99" s="2" t="s">
        <v>532</v>
      </c>
      <c r="C99" s="2" t="s">
        <v>556</v>
      </c>
      <c r="D99" s="2" t="s">
        <v>21</v>
      </c>
      <c r="E99" s="2" t="s">
        <v>22</v>
      </c>
      <c r="F99" s="2" t="s">
        <v>23</v>
      </c>
      <c r="G99" s="2" t="s">
        <v>557</v>
      </c>
      <c r="H99" s="2" t="s">
        <v>558</v>
      </c>
      <c r="I99" s="2" t="s">
        <v>129</v>
      </c>
      <c r="J99" s="2" t="s">
        <v>83</v>
      </c>
      <c r="K99" s="2" t="s">
        <v>559</v>
      </c>
      <c r="L99" s="2" t="s">
        <v>560</v>
      </c>
      <c r="M99" s="2" t="s">
        <v>30</v>
      </c>
      <c r="N99" s="2" t="s">
        <v>31</v>
      </c>
      <c r="O99" s="2"/>
      <c r="P99" s="2" t="s">
        <v>32</v>
      </c>
      <c r="Q99" s="2" t="s">
        <v>23</v>
      </c>
      <c r="R99" s="2" t="s">
        <v>33</v>
      </c>
    </row>
    <row r="100" customFormat="false" ht="72" hidden="false" customHeight="true" outlineLevel="0" collapsed="false">
      <c r="A100" s="2" t="s">
        <v>561</v>
      </c>
      <c r="B100" s="2" t="s">
        <v>532</v>
      </c>
      <c r="C100" s="2" t="s">
        <v>556</v>
      </c>
      <c r="D100" s="2" t="s">
        <v>35</v>
      </c>
      <c r="E100" s="2" t="s">
        <v>23</v>
      </c>
      <c r="F100" s="2" t="s">
        <v>23</v>
      </c>
      <c r="G100" s="2" t="s">
        <v>562</v>
      </c>
      <c r="H100" s="2" t="s">
        <v>563</v>
      </c>
      <c r="I100" s="2" t="s">
        <v>129</v>
      </c>
      <c r="J100" s="2" t="s">
        <v>230</v>
      </c>
      <c r="K100" s="2" t="s">
        <v>564</v>
      </c>
      <c r="L100" s="2" t="s">
        <v>282</v>
      </c>
      <c r="M100" s="2" t="s">
        <v>30</v>
      </c>
      <c r="N100" s="2" t="s">
        <v>31</v>
      </c>
      <c r="O100" s="2"/>
      <c r="P100" s="2" t="s">
        <v>32</v>
      </c>
      <c r="Q100" s="2" t="s">
        <v>43</v>
      </c>
      <c r="R100" s="2" t="s">
        <v>33</v>
      </c>
    </row>
    <row r="101" customFormat="false" ht="72" hidden="false" customHeight="true" outlineLevel="0" collapsed="false">
      <c r="A101" s="2" t="s">
        <v>565</v>
      </c>
      <c r="B101" s="2" t="s">
        <v>532</v>
      </c>
      <c r="C101" s="2" t="s">
        <v>566</v>
      </c>
      <c r="D101" s="2" t="s">
        <v>21</v>
      </c>
      <c r="E101" s="2" t="s">
        <v>23</v>
      </c>
      <c r="F101" s="2" t="s">
        <v>43</v>
      </c>
      <c r="G101" s="2" t="s">
        <v>567</v>
      </c>
      <c r="H101" s="2" t="s">
        <v>568</v>
      </c>
      <c r="I101" s="2" t="s">
        <v>129</v>
      </c>
      <c r="J101" s="2" t="s">
        <v>312</v>
      </c>
      <c r="K101" s="2" t="s">
        <v>569</v>
      </c>
      <c r="L101" s="2" t="s">
        <v>570</v>
      </c>
      <c r="M101" s="2" t="s">
        <v>30</v>
      </c>
      <c r="N101" s="2" t="s">
        <v>31</v>
      </c>
      <c r="O101" s="2"/>
      <c r="P101" s="2" t="s">
        <v>32</v>
      </c>
      <c r="Q101" s="2" t="s">
        <v>23</v>
      </c>
      <c r="R101" s="2" t="s">
        <v>33</v>
      </c>
    </row>
    <row r="102" customFormat="false" ht="72" hidden="false" customHeight="true" outlineLevel="0" collapsed="false">
      <c r="A102" s="2" t="s">
        <v>571</v>
      </c>
      <c r="B102" s="2" t="s">
        <v>532</v>
      </c>
      <c r="C102" s="2" t="s">
        <v>572</v>
      </c>
      <c r="D102" s="2" t="s">
        <v>80</v>
      </c>
      <c r="E102" s="2" t="s">
        <v>43</v>
      </c>
      <c r="F102" s="2" t="s">
        <v>65</v>
      </c>
      <c r="G102" s="2" t="s">
        <v>573</v>
      </c>
      <c r="H102" s="2" t="s">
        <v>574</v>
      </c>
      <c r="I102" s="2" t="s">
        <v>129</v>
      </c>
      <c r="J102" s="2" t="s">
        <v>575</v>
      </c>
      <c r="K102" s="2" t="s">
        <v>576</v>
      </c>
      <c r="L102" s="2" t="s">
        <v>577</v>
      </c>
      <c r="M102" s="2" t="s">
        <v>71</v>
      </c>
      <c r="N102" s="2"/>
      <c r="O102" s="2"/>
      <c r="P102" s="2" t="s">
        <v>72</v>
      </c>
      <c r="Q102" s="2" t="s">
        <v>65</v>
      </c>
      <c r="R102" s="2"/>
    </row>
    <row r="103" customFormat="false" ht="72" hidden="false" customHeight="true" outlineLevel="0" collapsed="false">
      <c r="A103" s="2" t="s">
        <v>578</v>
      </c>
      <c r="B103" s="2" t="s">
        <v>532</v>
      </c>
      <c r="C103" s="2" t="s">
        <v>256</v>
      </c>
      <c r="D103" s="2" t="s">
        <v>64</v>
      </c>
      <c r="E103" s="2" t="s">
        <v>43</v>
      </c>
      <c r="F103" s="2" t="s">
        <v>65</v>
      </c>
      <c r="G103" s="2" t="s">
        <v>579</v>
      </c>
      <c r="H103" s="2" t="s">
        <v>580</v>
      </c>
      <c r="I103" s="2" t="s">
        <v>129</v>
      </c>
      <c r="J103" s="2" t="s">
        <v>302</v>
      </c>
      <c r="K103" s="2" t="s">
        <v>581</v>
      </c>
      <c r="L103" s="2" t="s">
        <v>582</v>
      </c>
      <c r="M103" s="2" t="s">
        <v>71</v>
      </c>
      <c r="N103" s="2"/>
      <c r="O103" s="2"/>
      <c r="P103" s="2" t="s">
        <v>86</v>
      </c>
      <c r="Q103" s="2" t="s">
        <v>83</v>
      </c>
      <c r="R103" s="2"/>
    </row>
    <row r="104" customFormat="false" ht="72" hidden="false" customHeight="true" outlineLevel="0" collapsed="false">
      <c r="A104" s="2" t="s">
        <v>583</v>
      </c>
      <c r="B104" s="2" t="s">
        <v>584</v>
      </c>
      <c r="C104" s="2" t="s">
        <v>585</v>
      </c>
      <c r="D104" s="2" t="s">
        <v>586</v>
      </c>
      <c r="E104" s="2" t="s">
        <v>23</v>
      </c>
      <c r="F104" s="2" t="s">
        <v>43</v>
      </c>
      <c r="G104" s="2" t="s">
        <v>587</v>
      </c>
      <c r="H104" s="2" t="s">
        <v>588</v>
      </c>
      <c r="I104" s="2" t="s">
        <v>26</v>
      </c>
      <c r="J104" s="2" t="s">
        <v>104</v>
      </c>
      <c r="K104" s="2" t="s">
        <v>589</v>
      </c>
      <c r="L104" s="2" t="s">
        <v>590</v>
      </c>
      <c r="M104" s="2" t="s">
        <v>71</v>
      </c>
      <c r="N104" s="2"/>
      <c r="O104" s="2"/>
      <c r="P104" s="2" t="s">
        <v>72</v>
      </c>
      <c r="Q104" s="2" t="s">
        <v>43</v>
      </c>
      <c r="R104" s="2"/>
    </row>
    <row r="105" customFormat="false" ht="72" hidden="false" customHeight="true" outlineLevel="0" collapsed="false">
      <c r="A105" s="2" t="s">
        <v>591</v>
      </c>
      <c r="B105" s="2" t="s">
        <v>584</v>
      </c>
      <c r="C105" s="2" t="s">
        <v>585</v>
      </c>
      <c r="D105" s="2" t="s">
        <v>586</v>
      </c>
      <c r="E105" s="2" t="s">
        <v>23</v>
      </c>
      <c r="F105" s="2" t="s">
        <v>43</v>
      </c>
      <c r="G105" s="2" t="s">
        <v>592</v>
      </c>
      <c r="H105" s="2" t="s">
        <v>593</v>
      </c>
      <c r="I105" s="2" t="s">
        <v>26</v>
      </c>
      <c r="J105" s="2" t="s">
        <v>104</v>
      </c>
      <c r="K105" s="2" t="s">
        <v>594</v>
      </c>
      <c r="L105" s="2" t="s">
        <v>595</v>
      </c>
      <c r="M105" s="2" t="s">
        <v>30</v>
      </c>
      <c r="N105" s="2" t="s">
        <v>31</v>
      </c>
      <c r="O105" s="2"/>
      <c r="P105" s="2" t="s">
        <v>32</v>
      </c>
      <c r="Q105" s="2" t="s">
        <v>43</v>
      </c>
      <c r="R105" s="2" t="s">
        <v>33</v>
      </c>
    </row>
    <row r="106" customFormat="false" ht="72" hidden="false" customHeight="true" outlineLevel="0" collapsed="false">
      <c r="A106" s="2" t="s">
        <v>596</v>
      </c>
      <c r="B106" s="2" t="s">
        <v>584</v>
      </c>
      <c r="C106" s="2" t="s">
        <v>585</v>
      </c>
      <c r="D106" s="2" t="s">
        <v>586</v>
      </c>
      <c r="E106" s="2" t="s">
        <v>43</v>
      </c>
      <c r="F106" s="2" t="s">
        <v>43</v>
      </c>
      <c r="G106" s="2" t="s">
        <v>597</v>
      </c>
      <c r="H106" s="2" t="s">
        <v>598</v>
      </c>
      <c r="I106" s="2" t="s">
        <v>26</v>
      </c>
      <c r="J106" s="2" t="s">
        <v>104</v>
      </c>
      <c r="K106" s="2" t="s">
        <v>599</v>
      </c>
      <c r="L106" s="2" t="s">
        <v>600</v>
      </c>
      <c r="M106" s="2" t="s">
        <v>71</v>
      </c>
      <c r="N106" s="2"/>
      <c r="O106" s="2"/>
      <c r="P106" s="2" t="s">
        <v>72</v>
      </c>
      <c r="Q106" s="2" t="s">
        <v>65</v>
      </c>
      <c r="R106" s="2"/>
    </row>
    <row r="107" customFormat="false" ht="72" hidden="false" customHeight="true" outlineLevel="0" collapsed="false">
      <c r="A107" s="2" t="s">
        <v>601</v>
      </c>
      <c r="B107" s="2" t="s">
        <v>584</v>
      </c>
      <c r="C107" s="2" t="s">
        <v>602</v>
      </c>
      <c r="D107" s="2" t="s">
        <v>64</v>
      </c>
      <c r="E107" s="2" t="s">
        <v>23</v>
      </c>
      <c r="F107" s="2" t="s">
        <v>43</v>
      </c>
      <c r="G107" s="2" t="s">
        <v>603</v>
      </c>
      <c r="H107" s="2" t="s">
        <v>604</v>
      </c>
      <c r="I107" s="2" t="s">
        <v>26</v>
      </c>
      <c r="J107" s="2" t="s">
        <v>110</v>
      </c>
      <c r="K107" s="2" t="s">
        <v>605</v>
      </c>
      <c r="L107" s="2" t="s">
        <v>606</v>
      </c>
      <c r="M107" s="2" t="s">
        <v>30</v>
      </c>
      <c r="N107" s="2" t="s">
        <v>31</v>
      </c>
      <c r="O107" s="2"/>
      <c r="P107" s="2" t="s">
        <v>32</v>
      </c>
      <c r="Q107" s="2" t="s">
        <v>43</v>
      </c>
      <c r="R107" s="2" t="s">
        <v>33</v>
      </c>
    </row>
    <row r="108" customFormat="false" ht="72" hidden="false" customHeight="true" outlineLevel="0" collapsed="false">
      <c r="A108" s="2" t="s">
        <v>607</v>
      </c>
      <c r="B108" s="2" t="s">
        <v>584</v>
      </c>
      <c r="C108" s="2" t="s">
        <v>602</v>
      </c>
      <c r="D108" s="2" t="s">
        <v>608</v>
      </c>
      <c r="E108" s="2" t="s">
        <v>43</v>
      </c>
      <c r="F108" s="2" t="s">
        <v>43</v>
      </c>
      <c r="G108" s="2" t="s">
        <v>609</v>
      </c>
      <c r="H108" s="2" t="s">
        <v>610</v>
      </c>
      <c r="I108" s="2" t="s">
        <v>26</v>
      </c>
      <c r="J108" s="2" t="s">
        <v>611</v>
      </c>
      <c r="K108" s="2" t="s">
        <v>612</v>
      </c>
      <c r="L108" s="2" t="s">
        <v>613</v>
      </c>
      <c r="M108" s="2" t="s">
        <v>71</v>
      </c>
      <c r="N108" s="2"/>
      <c r="O108" s="2"/>
      <c r="P108" s="2" t="s">
        <v>72</v>
      </c>
      <c r="Q108" s="2" t="s">
        <v>43</v>
      </c>
      <c r="R108" s="2"/>
    </row>
    <row r="109" customFormat="false" ht="72" hidden="false" customHeight="true" outlineLevel="0" collapsed="false">
      <c r="A109" s="2" t="s">
        <v>614</v>
      </c>
      <c r="B109" s="2" t="s">
        <v>584</v>
      </c>
      <c r="C109" s="2" t="s">
        <v>615</v>
      </c>
      <c r="D109" s="2" t="s">
        <v>586</v>
      </c>
      <c r="E109" s="2" t="s">
        <v>23</v>
      </c>
      <c r="F109" s="2" t="s">
        <v>43</v>
      </c>
      <c r="G109" s="2" t="s">
        <v>616</v>
      </c>
      <c r="H109" s="2" t="s">
        <v>617</v>
      </c>
      <c r="I109" s="2" t="s">
        <v>26</v>
      </c>
      <c r="J109" s="2" t="s">
        <v>115</v>
      </c>
      <c r="K109" s="2" t="s">
        <v>618</v>
      </c>
      <c r="L109" s="2" t="s">
        <v>619</v>
      </c>
      <c r="M109" s="2" t="s">
        <v>71</v>
      </c>
      <c r="N109" s="2"/>
      <c r="O109" s="2"/>
      <c r="P109" s="2" t="s">
        <v>72</v>
      </c>
      <c r="Q109" s="2" t="s">
        <v>65</v>
      </c>
      <c r="R109" s="2"/>
    </row>
    <row r="110" customFormat="false" ht="72" hidden="false" customHeight="true" outlineLevel="0" collapsed="false">
      <c r="A110" s="2" t="s">
        <v>620</v>
      </c>
      <c r="B110" s="2" t="s">
        <v>584</v>
      </c>
      <c r="C110" s="2" t="s">
        <v>621</v>
      </c>
      <c r="D110" s="2" t="s">
        <v>586</v>
      </c>
      <c r="E110" s="2" t="s">
        <v>43</v>
      </c>
      <c r="F110" s="2" t="s">
        <v>65</v>
      </c>
      <c r="G110" s="2" t="s">
        <v>622</v>
      </c>
      <c r="H110" s="2" t="s">
        <v>623</v>
      </c>
      <c r="I110" s="2" t="s">
        <v>26</v>
      </c>
      <c r="J110" s="2" t="s">
        <v>121</v>
      </c>
      <c r="K110" s="2" t="s">
        <v>624</v>
      </c>
      <c r="L110" s="2" t="s">
        <v>625</v>
      </c>
      <c r="M110" s="2" t="s">
        <v>71</v>
      </c>
      <c r="N110" s="2"/>
      <c r="O110" s="2"/>
      <c r="P110" s="2" t="s">
        <v>86</v>
      </c>
      <c r="Q110" s="2" t="s">
        <v>83</v>
      </c>
      <c r="R110" s="2"/>
    </row>
    <row r="111" customFormat="false" ht="72" hidden="false" customHeight="true" outlineLevel="0" collapsed="false">
      <c r="A111" s="2" t="s">
        <v>626</v>
      </c>
      <c r="B111" s="2" t="s">
        <v>584</v>
      </c>
      <c r="C111" s="2" t="s">
        <v>627</v>
      </c>
      <c r="D111" s="2" t="s">
        <v>35</v>
      </c>
      <c r="E111" s="2" t="s">
        <v>22</v>
      </c>
      <c r="F111" s="2" t="s">
        <v>23</v>
      </c>
      <c r="G111" s="2" t="s">
        <v>628</v>
      </c>
      <c r="H111" s="2" t="s">
        <v>629</v>
      </c>
      <c r="I111" s="2" t="s">
        <v>26</v>
      </c>
      <c r="J111" s="2" t="s">
        <v>38</v>
      </c>
      <c r="K111" s="2" t="s">
        <v>630</v>
      </c>
      <c r="L111" s="2" t="s">
        <v>631</v>
      </c>
      <c r="M111" s="2" t="s">
        <v>30</v>
      </c>
      <c r="N111" s="2" t="s">
        <v>31</v>
      </c>
      <c r="O111" s="2"/>
      <c r="P111" s="2" t="s">
        <v>32</v>
      </c>
      <c r="Q111" s="2" t="s">
        <v>23</v>
      </c>
      <c r="R111" s="2" t="s">
        <v>33</v>
      </c>
    </row>
    <row r="112" customFormat="false" ht="72" hidden="false" customHeight="true" outlineLevel="0" collapsed="false">
      <c r="A112" s="2" t="s">
        <v>632</v>
      </c>
      <c r="B112" s="2" t="s">
        <v>584</v>
      </c>
      <c r="C112" s="2" t="s">
        <v>633</v>
      </c>
      <c r="D112" s="2" t="s">
        <v>21</v>
      </c>
      <c r="E112" s="2" t="s">
        <v>22</v>
      </c>
      <c r="F112" s="2" t="s">
        <v>23</v>
      </c>
      <c r="G112" s="2" t="s">
        <v>634</v>
      </c>
      <c r="H112" s="2" t="s">
        <v>635</v>
      </c>
      <c r="I112" s="2" t="s">
        <v>26</v>
      </c>
      <c r="J112" s="2" t="s">
        <v>397</v>
      </c>
      <c r="K112" s="2" t="s">
        <v>636</v>
      </c>
      <c r="L112" s="2" t="s">
        <v>637</v>
      </c>
      <c r="M112" s="2" t="s">
        <v>30</v>
      </c>
      <c r="N112" s="2" t="s">
        <v>31</v>
      </c>
      <c r="O112" s="2"/>
      <c r="P112" s="2" t="s">
        <v>32</v>
      </c>
      <c r="Q112" s="2" t="s">
        <v>23</v>
      </c>
      <c r="R112" s="2" t="s">
        <v>33</v>
      </c>
    </row>
    <row r="113" customFormat="false" ht="72" hidden="false" customHeight="true" outlineLevel="0" collapsed="false">
      <c r="A113" s="2" t="s">
        <v>638</v>
      </c>
      <c r="B113" s="2" t="s">
        <v>584</v>
      </c>
      <c r="C113" s="2" t="s">
        <v>639</v>
      </c>
      <c r="D113" s="2" t="s">
        <v>80</v>
      </c>
      <c r="E113" s="2" t="s">
        <v>43</v>
      </c>
      <c r="F113" s="2" t="s">
        <v>65</v>
      </c>
      <c r="G113" s="2" t="s">
        <v>640</v>
      </c>
      <c r="H113" s="2" t="s">
        <v>641</v>
      </c>
      <c r="I113" s="2" t="s">
        <v>26</v>
      </c>
      <c r="J113" s="2" t="s">
        <v>83</v>
      </c>
      <c r="K113" s="2" t="s">
        <v>642</v>
      </c>
      <c r="L113" s="2" t="s">
        <v>643</v>
      </c>
      <c r="M113" s="2" t="s">
        <v>71</v>
      </c>
      <c r="N113" s="2"/>
      <c r="O113" s="2"/>
      <c r="P113" s="2" t="s">
        <v>86</v>
      </c>
      <c r="Q113" s="2" t="s">
        <v>83</v>
      </c>
      <c r="R113" s="2"/>
    </row>
    <row r="114" customFormat="false" ht="72" hidden="false" customHeight="true" outlineLevel="0" collapsed="false">
      <c r="A114" s="2" t="s">
        <v>644</v>
      </c>
      <c r="B114" s="2" t="s">
        <v>584</v>
      </c>
      <c r="C114" s="2" t="s">
        <v>639</v>
      </c>
      <c r="D114" s="2" t="s">
        <v>64</v>
      </c>
      <c r="E114" s="2" t="s">
        <v>43</v>
      </c>
      <c r="F114" s="2" t="s">
        <v>65</v>
      </c>
      <c r="G114" s="2" t="s">
        <v>645</v>
      </c>
      <c r="H114" s="2" t="s">
        <v>646</v>
      </c>
      <c r="I114" s="2" t="s">
        <v>26</v>
      </c>
      <c r="J114" s="2" t="s">
        <v>647</v>
      </c>
      <c r="K114" s="2" t="s">
        <v>648</v>
      </c>
      <c r="L114" s="2" t="s">
        <v>649</v>
      </c>
      <c r="M114" s="2" t="s">
        <v>71</v>
      </c>
      <c r="N114" s="2"/>
      <c r="O114" s="2"/>
      <c r="P114" s="2" t="s">
        <v>72</v>
      </c>
      <c r="Q114" s="2" t="s">
        <v>65</v>
      </c>
      <c r="R114" s="2"/>
    </row>
    <row r="115" customFormat="false" ht="72" hidden="false" customHeight="true" outlineLevel="0" collapsed="false">
      <c r="A115" s="2" t="s">
        <v>650</v>
      </c>
      <c r="B115" s="2" t="s">
        <v>584</v>
      </c>
      <c r="C115" s="2" t="s">
        <v>585</v>
      </c>
      <c r="D115" s="2" t="s">
        <v>586</v>
      </c>
      <c r="E115" s="2" t="s">
        <v>43</v>
      </c>
      <c r="F115" s="2" t="s">
        <v>65</v>
      </c>
      <c r="G115" s="2" t="s">
        <v>651</v>
      </c>
      <c r="H115" s="2" t="s">
        <v>652</v>
      </c>
      <c r="I115" s="2" t="s">
        <v>26</v>
      </c>
      <c r="J115" s="2" t="s">
        <v>104</v>
      </c>
      <c r="K115" s="2" t="s">
        <v>653</v>
      </c>
      <c r="L115" s="2" t="s">
        <v>654</v>
      </c>
      <c r="M115" s="2" t="s">
        <v>71</v>
      </c>
      <c r="N115" s="2"/>
      <c r="O115" s="2"/>
      <c r="P115" s="2" t="s">
        <v>86</v>
      </c>
      <c r="Q115" s="2" t="s">
        <v>83</v>
      </c>
      <c r="R115" s="2"/>
    </row>
    <row r="116" customFormat="false" ht="72" hidden="false" customHeight="true" outlineLevel="0" collapsed="false">
      <c r="A116" s="2" t="s">
        <v>655</v>
      </c>
      <c r="B116" s="2" t="s">
        <v>584</v>
      </c>
      <c r="C116" s="2" t="s">
        <v>621</v>
      </c>
      <c r="D116" s="2" t="s">
        <v>586</v>
      </c>
      <c r="E116" s="2" t="s">
        <v>43</v>
      </c>
      <c r="F116" s="2" t="s">
        <v>65</v>
      </c>
      <c r="G116" s="2" t="s">
        <v>656</v>
      </c>
      <c r="H116" s="2" t="s">
        <v>657</v>
      </c>
      <c r="I116" s="2" t="s">
        <v>26</v>
      </c>
      <c r="J116" s="2" t="s">
        <v>121</v>
      </c>
      <c r="K116" s="2" t="s">
        <v>658</v>
      </c>
      <c r="L116" s="2" t="s">
        <v>659</v>
      </c>
      <c r="M116" s="2" t="s">
        <v>71</v>
      </c>
      <c r="N116" s="2"/>
      <c r="O116" s="2"/>
      <c r="P116" s="2" t="s">
        <v>86</v>
      </c>
      <c r="Q116" s="2" t="s">
        <v>83</v>
      </c>
      <c r="R116" s="2"/>
    </row>
    <row r="117" customFormat="false" ht="72" hidden="false" customHeight="true" outlineLevel="0" collapsed="false">
      <c r="A117" s="2" t="s">
        <v>660</v>
      </c>
      <c r="B117" s="2" t="s">
        <v>584</v>
      </c>
      <c r="C117" s="2" t="s">
        <v>615</v>
      </c>
      <c r="D117" s="2" t="s">
        <v>586</v>
      </c>
      <c r="E117" s="2" t="s">
        <v>43</v>
      </c>
      <c r="F117" s="2" t="s">
        <v>43</v>
      </c>
      <c r="G117" s="2" t="s">
        <v>661</v>
      </c>
      <c r="H117" s="2" t="s">
        <v>662</v>
      </c>
      <c r="I117" s="2" t="s">
        <v>26</v>
      </c>
      <c r="J117" s="2" t="s">
        <v>115</v>
      </c>
      <c r="K117" s="2" t="s">
        <v>663</v>
      </c>
      <c r="L117" s="2" t="s">
        <v>664</v>
      </c>
      <c r="M117" s="2" t="s">
        <v>71</v>
      </c>
      <c r="N117" s="2"/>
      <c r="O117" s="2"/>
      <c r="P117" s="2" t="s">
        <v>86</v>
      </c>
      <c r="Q117" s="2" t="s">
        <v>83</v>
      </c>
      <c r="R117" s="2"/>
    </row>
    <row r="118" customFormat="false" ht="72" hidden="false" customHeight="true" outlineLevel="0" collapsed="false">
      <c r="A118" s="2" t="s">
        <v>665</v>
      </c>
      <c r="B118" s="2" t="s">
        <v>666</v>
      </c>
      <c r="C118" s="2" t="s">
        <v>667</v>
      </c>
      <c r="D118" s="2" t="s">
        <v>608</v>
      </c>
      <c r="E118" s="2" t="s">
        <v>22</v>
      </c>
      <c r="F118" s="2" t="s">
        <v>23</v>
      </c>
      <c r="G118" s="2" t="s">
        <v>668</v>
      </c>
      <c r="H118" s="2" t="s">
        <v>669</v>
      </c>
      <c r="I118" s="2" t="s">
        <v>26</v>
      </c>
      <c r="J118" s="2" t="s">
        <v>397</v>
      </c>
      <c r="K118" s="2" t="s">
        <v>670</v>
      </c>
      <c r="L118" s="2" t="s">
        <v>671</v>
      </c>
      <c r="M118" s="2" t="s">
        <v>30</v>
      </c>
      <c r="N118" s="2" t="s">
        <v>31</v>
      </c>
      <c r="O118" s="2"/>
      <c r="P118" s="2" t="s">
        <v>32</v>
      </c>
      <c r="Q118" s="2" t="s">
        <v>23</v>
      </c>
      <c r="R118" s="2" t="s">
        <v>33</v>
      </c>
    </row>
    <row r="119" customFormat="false" ht="72" hidden="false" customHeight="true" outlineLevel="0" collapsed="false">
      <c r="A119" s="2" t="s">
        <v>672</v>
      </c>
      <c r="B119" s="2" t="s">
        <v>666</v>
      </c>
      <c r="C119" s="2" t="s">
        <v>673</v>
      </c>
      <c r="D119" s="2" t="s">
        <v>608</v>
      </c>
      <c r="E119" s="2" t="s">
        <v>22</v>
      </c>
      <c r="F119" s="2" t="s">
        <v>23</v>
      </c>
      <c r="G119" s="2" t="s">
        <v>674</v>
      </c>
      <c r="H119" s="2" t="s">
        <v>675</v>
      </c>
      <c r="I119" s="2" t="s">
        <v>26</v>
      </c>
      <c r="J119" s="2" t="s">
        <v>397</v>
      </c>
      <c r="K119" s="2" t="s">
        <v>676</v>
      </c>
      <c r="L119" s="2" t="s">
        <v>677</v>
      </c>
      <c r="M119" s="2" t="s">
        <v>30</v>
      </c>
      <c r="N119" s="2" t="s">
        <v>31</v>
      </c>
      <c r="O119" s="2"/>
      <c r="P119" s="2" t="s">
        <v>32</v>
      </c>
      <c r="Q119" s="2" t="s">
        <v>23</v>
      </c>
      <c r="R119" s="2" t="s">
        <v>33</v>
      </c>
    </row>
    <row r="120" customFormat="false" ht="72" hidden="false" customHeight="true" outlineLevel="0" collapsed="false">
      <c r="A120" s="2" t="s">
        <v>678</v>
      </c>
      <c r="B120" s="2" t="s">
        <v>666</v>
      </c>
      <c r="C120" s="2" t="s">
        <v>679</v>
      </c>
      <c r="D120" s="2" t="s">
        <v>608</v>
      </c>
      <c r="E120" s="2" t="s">
        <v>23</v>
      </c>
      <c r="F120" s="2" t="s">
        <v>23</v>
      </c>
      <c r="G120" s="2" t="s">
        <v>680</v>
      </c>
      <c r="H120" s="2" t="s">
        <v>681</v>
      </c>
      <c r="I120" s="2" t="s">
        <v>26</v>
      </c>
      <c r="J120" s="2" t="s">
        <v>397</v>
      </c>
      <c r="K120" s="2" t="s">
        <v>682</v>
      </c>
      <c r="L120" s="2" t="s">
        <v>683</v>
      </c>
      <c r="M120" s="2" t="s">
        <v>30</v>
      </c>
      <c r="N120" s="2" t="s">
        <v>31</v>
      </c>
      <c r="O120" s="2"/>
      <c r="P120" s="2" t="s">
        <v>32</v>
      </c>
      <c r="Q120" s="2" t="s">
        <v>23</v>
      </c>
      <c r="R120" s="2" t="s">
        <v>33</v>
      </c>
    </row>
    <row r="121" customFormat="false" ht="72" hidden="false" customHeight="true" outlineLevel="0" collapsed="false">
      <c r="A121" s="2" t="s">
        <v>684</v>
      </c>
      <c r="B121" s="2" t="s">
        <v>666</v>
      </c>
      <c r="C121" s="2" t="s">
        <v>685</v>
      </c>
      <c r="D121" s="2" t="s">
        <v>608</v>
      </c>
      <c r="E121" s="2" t="s">
        <v>23</v>
      </c>
      <c r="F121" s="2" t="s">
        <v>43</v>
      </c>
      <c r="G121" s="2" t="s">
        <v>686</v>
      </c>
      <c r="H121" s="2" t="s">
        <v>687</v>
      </c>
      <c r="I121" s="2" t="s">
        <v>26</v>
      </c>
      <c r="J121" s="2" t="s">
        <v>397</v>
      </c>
      <c r="K121" s="2" t="s">
        <v>688</v>
      </c>
      <c r="L121" s="2" t="s">
        <v>689</v>
      </c>
      <c r="M121" s="2" t="s">
        <v>30</v>
      </c>
      <c r="N121" s="2" t="s">
        <v>31</v>
      </c>
      <c r="O121" s="2"/>
      <c r="P121" s="2" t="s">
        <v>32</v>
      </c>
      <c r="Q121" s="2" t="s">
        <v>43</v>
      </c>
      <c r="R121" s="2" t="s">
        <v>33</v>
      </c>
    </row>
    <row r="122" customFormat="false" ht="72" hidden="false" customHeight="true" outlineLevel="0" collapsed="false">
      <c r="A122" s="2" t="s">
        <v>690</v>
      </c>
      <c r="B122" s="2" t="s">
        <v>666</v>
      </c>
      <c r="C122" s="2" t="s">
        <v>685</v>
      </c>
      <c r="D122" s="2" t="s">
        <v>608</v>
      </c>
      <c r="E122" s="2" t="s">
        <v>23</v>
      </c>
      <c r="F122" s="2" t="s">
        <v>43</v>
      </c>
      <c r="G122" s="2" t="s">
        <v>686</v>
      </c>
      <c r="H122" s="2" t="s">
        <v>691</v>
      </c>
      <c r="I122" s="2" t="s">
        <v>26</v>
      </c>
      <c r="J122" s="2" t="s">
        <v>397</v>
      </c>
      <c r="K122" s="2" t="s">
        <v>692</v>
      </c>
      <c r="L122" s="2" t="s">
        <v>693</v>
      </c>
      <c r="M122" s="2" t="s">
        <v>30</v>
      </c>
      <c r="N122" s="2" t="s">
        <v>31</v>
      </c>
      <c r="O122" s="2"/>
      <c r="P122" s="2" t="s">
        <v>32</v>
      </c>
      <c r="Q122" s="2" t="s">
        <v>43</v>
      </c>
      <c r="R122" s="2" t="s">
        <v>33</v>
      </c>
    </row>
    <row r="123" customFormat="false" ht="72" hidden="false" customHeight="true" outlineLevel="0" collapsed="false">
      <c r="A123" s="2" t="s">
        <v>694</v>
      </c>
      <c r="B123" s="2" t="s">
        <v>666</v>
      </c>
      <c r="C123" s="2" t="s">
        <v>695</v>
      </c>
      <c r="D123" s="2" t="s">
        <v>608</v>
      </c>
      <c r="E123" s="2" t="s">
        <v>23</v>
      </c>
      <c r="F123" s="2" t="s">
        <v>23</v>
      </c>
      <c r="G123" s="2" t="s">
        <v>696</v>
      </c>
      <c r="H123" s="2" t="s">
        <v>697</v>
      </c>
      <c r="I123" s="2" t="s">
        <v>26</v>
      </c>
      <c r="J123" s="2" t="s">
        <v>397</v>
      </c>
      <c r="K123" s="2" t="s">
        <v>698</v>
      </c>
      <c r="L123" s="2" t="s">
        <v>699</v>
      </c>
      <c r="M123" s="2" t="s">
        <v>30</v>
      </c>
      <c r="N123" s="2" t="s">
        <v>31</v>
      </c>
      <c r="O123" s="2"/>
      <c r="P123" s="2" t="s">
        <v>32</v>
      </c>
      <c r="Q123" s="2" t="s">
        <v>23</v>
      </c>
      <c r="R123" s="2" t="s">
        <v>33</v>
      </c>
    </row>
    <row r="124" customFormat="false" ht="72" hidden="false" customHeight="true" outlineLevel="0" collapsed="false">
      <c r="A124" s="2" t="s">
        <v>700</v>
      </c>
      <c r="B124" s="2" t="s">
        <v>666</v>
      </c>
      <c r="C124" s="2" t="s">
        <v>321</v>
      </c>
      <c r="D124" s="2" t="s">
        <v>608</v>
      </c>
      <c r="E124" s="2" t="s">
        <v>43</v>
      </c>
      <c r="F124" s="2" t="s">
        <v>43</v>
      </c>
      <c r="G124" s="2" t="s">
        <v>701</v>
      </c>
      <c r="H124" s="2" t="s">
        <v>702</v>
      </c>
      <c r="I124" s="2" t="s">
        <v>26</v>
      </c>
      <c r="J124" s="2" t="s">
        <v>397</v>
      </c>
      <c r="K124" s="2" t="s">
        <v>703</v>
      </c>
      <c r="L124" s="2" t="s">
        <v>704</v>
      </c>
      <c r="M124" s="2" t="s">
        <v>30</v>
      </c>
      <c r="N124" s="2" t="s">
        <v>31</v>
      </c>
      <c r="O124" s="2"/>
      <c r="P124" s="2" t="s">
        <v>32</v>
      </c>
      <c r="Q124" s="2" t="s">
        <v>43</v>
      </c>
      <c r="R124" s="2" t="s">
        <v>33</v>
      </c>
    </row>
    <row r="125" customFormat="false" ht="72" hidden="false" customHeight="true" outlineLevel="0" collapsed="false">
      <c r="A125" s="2" t="s">
        <v>705</v>
      </c>
      <c r="B125" s="2" t="s">
        <v>666</v>
      </c>
      <c r="C125" s="2" t="s">
        <v>706</v>
      </c>
      <c r="D125" s="2" t="s">
        <v>608</v>
      </c>
      <c r="E125" s="2" t="s">
        <v>23</v>
      </c>
      <c r="F125" s="2" t="s">
        <v>43</v>
      </c>
      <c r="G125" s="2" t="s">
        <v>707</v>
      </c>
      <c r="H125" s="2" t="s">
        <v>708</v>
      </c>
      <c r="I125" s="2" t="s">
        <v>26</v>
      </c>
      <c r="J125" s="2" t="s">
        <v>397</v>
      </c>
      <c r="K125" s="2" t="s">
        <v>709</v>
      </c>
      <c r="L125" s="2" t="s">
        <v>710</v>
      </c>
      <c r="M125" s="2" t="s">
        <v>30</v>
      </c>
      <c r="N125" s="2" t="s">
        <v>31</v>
      </c>
      <c r="O125" s="2"/>
      <c r="P125" s="2" t="s">
        <v>32</v>
      </c>
      <c r="Q125" s="2" t="s">
        <v>43</v>
      </c>
      <c r="R125" s="2" t="s">
        <v>33</v>
      </c>
    </row>
    <row r="126" customFormat="false" ht="72" hidden="false" customHeight="true" outlineLevel="0" collapsed="false">
      <c r="A126" s="2" t="s">
        <v>711</v>
      </c>
      <c r="B126" s="2" t="s">
        <v>666</v>
      </c>
      <c r="C126" s="2" t="s">
        <v>712</v>
      </c>
      <c r="D126" s="2" t="s">
        <v>608</v>
      </c>
      <c r="E126" s="2" t="s">
        <v>23</v>
      </c>
      <c r="F126" s="2" t="s">
        <v>43</v>
      </c>
      <c r="G126" s="2" t="s">
        <v>674</v>
      </c>
      <c r="H126" s="2" t="s">
        <v>713</v>
      </c>
      <c r="I126" s="2" t="s">
        <v>26</v>
      </c>
      <c r="J126" s="2" t="s">
        <v>397</v>
      </c>
      <c r="K126" s="2" t="s">
        <v>714</v>
      </c>
      <c r="L126" s="2" t="s">
        <v>715</v>
      </c>
      <c r="M126" s="2" t="s">
        <v>30</v>
      </c>
      <c r="N126" s="2" t="s">
        <v>31</v>
      </c>
      <c r="O126" s="2"/>
      <c r="P126" s="2" t="s">
        <v>32</v>
      </c>
      <c r="Q126" s="2" t="s">
        <v>43</v>
      </c>
      <c r="R126" s="2" t="s">
        <v>33</v>
      </c>
    </row>
    <row r="127" customFormat="false" ht="72" hidden="false" customHeight="true" outlineLevel="0" collapsed="false">
      <c r="A127" s="2" t="s">
        <v>716</v>
      </c>
      <c r="B127" s="2" t="s">
        <v>666</v>
      </c>
      <c r="C127" s="2" t="s">
        <v>717</v>
      </c>
      <c r="D127" s="2" t="s">
        <v>608</v>
      </c>
      <c r="E127" s="2" t="s">
        <v>23</v>
      </c>
      <c r="F127" s="2" t="s">
        <v>43</v>
      </c>
      <c r="G127" s="2" t="s">
        <v>718</v>
      </c>
      <c r="H127" s="2" t="s">
        <v>719</v>
      </c>
      <c r="I127" s="2" t="s">
        <v>26</v>
      </c>
      <c r="J127" s="2" t="s">
        <v>397</v>
      </c>
      <c r="K127" s="2" t="s">
        <v>720</v>
      </c>
      <c r="L127" s="2" t="s">
        <v>721</v>
      </c>
      <c r="M127" s="2" t="s">
        <v>30</v>
      </c>
      <c r="N127" s="2" t="s">
        <v>31</v>
      </c>
      <c r="O127" s="2"/>
      <c r="P127" s="2" t="s">
        <v>32</v>
      </c>
      <c r="Q127" s="2" t="s">
        <v>23</v>
      </c>
      <c r="R127" s="2" t="s">
        <v>33</v>
      </c>
    </row>
    <row r="128" customFormat="false" ht="72" hidden="false" customHeight="true" outlineLevel="0" collapsed="false">
      <c r="A128" s="2" t="s">
        <v>722</v>
      </c>
      <c r="B128" s="2" t="s">
        <v>666</v>
      </c>
      <c r="C128" s="2" t="s">
        <v>723</v>
      </c>
      <c r="D128" s="2" t="s">
        <v>608</v>
      </c>
      <c r="E128" s="2" t="s">
        <v>43</v>
      </c>
      <c r="F128" s="2" t="s">
        <v>43</v>
      </c>
      <c r="G128" s="2" t="s">
        <v>724</v>
      </c>
      <c r="H128" s="2" t="s">
        <v>725</v>
      </c>
      <c r="I128" s="2" t="s">
        <v>26</v>
      </c>
      <c r="J128" s="2" t="s">
        <v>302</v>
      </c>
      <c r="K128" s="2" t="s">
        <v>726</v>
      </c>
      <c r="L128" s="2" t="s">
        <v>727</v>
      </c>
      <c r="M128" s="2" t="s">
        <v>30</v>
      </c>
      <c r="N128" s="2" t="s">
        <v>31</v>
      </c>
      <c r="O128" s="2"/>
      <c r="P128" s="2" t="s">
        <v>32</v>
      </c>
      <c r="Q128" s="2" t="s">
        <v>43</v>
      </c>
      <c r="R128" s="2" t="s">
        <v>33</v>
      </c>
    </row>
    <row r="129" customFormat="false" ht="72" hidden="false" customHeight="true" outlineLevel="0" collapsed="false">
      <c r="A129" s="2" t="s">
        <v>728</v>
      </c>
      <c r="B129" s="2" t="s">
        <v>666</v>
      </c>
      <c r="C129" s="2" t="s">
        <v>729</v>
      </c>
      <c r="D129" s="2" t="s">
        <v>608</v>
      </c>
      <c r="E129" s="2" t="s">
        <v>23</v>
      </c>
      <c r="F129" s="2" t="s">
        <v>43</v>
      </c>
      <c r="G129" s="2" t="s">
        <v>730</v>
      </c>
      <c r="H129" s="2" t="s">
        <v>731</v>
      </c>
      <c r="I129" s="2" t="s">
        <v>26</v>
      </c>
      <c r="J129" s="2" t="s">
        <v>397</v>
      </c>
      <c r="K129" s="2" t="s">
        <v>732</v>
      </c>
      <c r="L129" s="2" t="s">
        <v>733</v>
      </c>
      <c r="M129" s="2" t="s">
        <v>30</v>
      </c>
      <c r="N129" s="2" t="s">
        <v>31</v>
      </c>
      <c r="O129" s="2"/>
      <c r="P129" s="2" t="s">
        <v>32</v>
      </c>
      <c r="Q129" s="2" t="s">
        <v>23</v>
      </c>
      <c r="R129" s="2" t="s">
        <v>33</v>
      </c>
    </row>
    <row r="130" customFormat="false" ht="72" hidden="false" customHeight="true" outlineLevel="0" collapsed="false">
      <c r="A130" s="2" t="s">
        <v>734</v>
      </c>
      <c r="B130" s="2" t="s">
        <v>666</v>
      </c>
      <c r="C130" s="2" t="s">
        <v>735</v>
      </c>
      <c r="D130" s="2" t="s">
        <v>608</v>
      </c>
      <c r="E130" s="2" t="s">
        <v>43</v>
      </c>
      <c r="F130" s="2" t="s">
        <v>65</v>
      </c>
      <c r="G130" s="2" t="s">
        <v>736</v>
      </c>
      <c r="H130" s="2" t="s">
        <v>737</v>
      </c>
      <c r="I130" s="2" t="s">
        <v>26</v>
      </c>
      <c r="J130" s="2" t="s">
        <v>397</v>
      </c>
      <c r="K130" s="2" t="s">
        <v>738</v>
      </c>
      <c r="L130" s="2" t="s">
        <v>739</v>
      </c>
      <c r="M130" s="2" t="s">
        <v>71</v>
      </c>
      <c r="N130" s="2"/>
      <c r="O130" s="2"/>
      <c r="P130" s="2" t="s">
        <v>72</v>
      </c>
      <c r="Q130" s="2" t="s">
        <v>65</v>
      </c>
      <c r="R130" s="2"/>
    </row>
    <row r="131" customFormat="false" ht="72" hidden="false" customHeight="true" outlineLevel="0" collapsed="false">
      <c r="A131" s="2" t="s">
        <v>740</v>
      </c>
      <c r="B131" s="2" t="s">
        <v>666</v>
      </c>
      <c r="C131" s="2" t="s">
        <v>741</v>
      </c>
      <c r="D131" s="2" t="s">
        <v>608</v>
      </c>
      <c r="E131" s="2" t="s">
        <v>43</v>
      </c>
      <c r="F131" s="2" t="s">
        <v>65</v>
      </c>
      <c r="G131" s="2" t="s">
        <v>736</v>
      </c>
      <c r="H131" s="2" t="s">
        <v>742</v>
      </c>
      <c r="I131" s="2" t="s">
        <v>26</v>
      </c>
      <c r="J131" s="2" t="s">
        <v>397</v>
      </c>
      <c r="K131" s="2" t="s">
        <v>743</v>
      </c>
      <c r="L131" s="2" t="s">
        <v>744</v>
      </c>
      <c r="M131" s="2" t="s">
        <v>71</v>
      </c>
      <c r="N131" s="2"/>
      <c r="O131" s="2"/>
      <c r="P131" s="2" t="s">
        <v>72</v>
      </c>
      <c r="Q131" s="2" t="s">
        <v>65</v>
      </c>
      <c r="R131" s="2"/>
    </row>
    <row r="132" customFormat="false" ht="72" hidden="false" customHeight="true" outlineLevel="0" collapsed="false">
      <c r="A132" s="2" t="s">
        <v>745</v>
      </c>
      <c r="B132" s="2" t="s">
        <v>666</v>
      </c>
      <c r="C132" s="2" t="s">
        <v>746</v>
      </c>
      <c r="D132" s="2" t="s">
        <v>608</v>
      </c>
      <c r="E132" s="2" t="s">
        <v>43</v>
      </c>
      <c r="F132" s="2" t="s">
        <v>65</v>
      </c>
      <c r="G132" s="2" t="s">
        <v>736</v>
      </c>
      <c r="H132" s="2" t="s">
        <v>747</v>
      </c>
      <c r="I132" s="2" t="s">
        <v>26</v>
      </c>
      <c r="J132" s="2" t="s">
        <v>397</v>
      </c>
      <c r="K132" s="2" t="s">
        <v>748</v>
      </c>
      <c r="L132" s="2" t="s">
        <v>749</v>
      </c>
      <c r="M132" s="2" t="s">
        <v>71</v>
      </c>
      <c r="N132" s="2"/>
      <c r="O132" s="2"/>
      <c r="P132" s="2" t="s">
        <v>86</v>
      </c>
      <c r="Q132" s="2" t="s">
        <v>83</v>
      </c>
      <c r="R132" s="2"/>
    </row>
    <row r="133" customFormat="false" ht="72" hidden="false" customHeight="true" outlineLevel="0" collapsed="false">
      <c r="A133" s="2" t="s">
        <v>750</v>
      </c>
      <c r="B133" s="2" t="s">
        <v>666</v>
      </c>
      <c r="C133" s="2" t="s">
        <v>751</v>
      </c>
      <c r="D133" s="2" t="s">
        <v>608</v>
      </c>
      <c r="E133" s="2" t="s">
        <v>23</v>
      </c>
      <c r="F133" s="2" t="s">
        <v>43</v>
      </c>
      <c r="G133" s="2" t="s">
        <v>674</v>
      </c>
      <c r="H133" s="2" t="s">
        <v>752</v>
      </c>
      <c r="I133" s="2" t="s">
        <v>26</v>
      </c>
      <c r="J133" s="2" t="s">
        <v>397</v>
      </c>
      <c r="K133" s="2" t="s">
        <v>753</v>
      </c>
      <c r="L133" s="2" t="s">
        <v>754</v>
      </c>
      <c r="M133" s="2" t="s">
        <v>30</v>
      </c>
      <c r="N133" s="2" t="s">
        <v>31</v>
      </c>
      <c r="O133" s="2"/>
      <c r="P133" s="2" t="s">
        <v>32</v>
      </c>
      <c r="Q133" s="2" t="s">
        <v>43</v>
      </c>
      <c r="R133" s="2" t="s">
        <v>33</v>
      </c>
    </row>
    <row r="134" customFormat="false" ht="72" hidden="false" customHeight="true" outlineLevel="0" collapsed="false">
      <c r="A134" s="2" t="s">
        <v>755</v>
      </c>
      <c r="B134" s="2" t="s">
        <v>666</v>
      </c>
      <c r="C134" s="2" t="s">
        <v>756</v>
      </c>
      <c r="D134" s="2" t="s">
        <v>608</v>
      </c>
      <c r="E134" s="2" t="s">
        <v>23</v>
      </c>
      <c r="F134" s="2" t="s">
        <v>43</v>
      </c>
      <c r="G134" s="2" t="s">
        <v>757</v>
      </c>
      <c r="H134" s="2" t="s">
        <v>758</v>
      </c>
      <c r="I134" s="2" t="s">
        <v>26</v>
      </c>
      <c r="J134" s="2" t="s">
        <v>397</v>
      </c>
      <c r="K134" s="2" t="s">
        <v>759</v>
      </c>
      <c r="L134" s="2" t="s">
        <v>760</v>
      </c>
      <c r="M134" s="2" t="s">
        <v>30</v>
      </c>
      <c r="N134" s="2" t="s">
        <v>31</v>
      </c>
      <c r="O134" s="2"/>
      <c r="P134" s="2" t="s">
        <v>32</v>
      </c>
      <c r="Q134" s="2" t="s">
        <v>43</v>
      </c>
      <c r="R134" s="2" t="s">
        <v>33</v>
      </c>
    </row>
    <row r="135" customFormat="false" ht="72" hidden="false" customHeight="true" outlineLevel="0" collapsed="false">
      <c r="A135" s="2" t="s">
        <v>761</v>
      </c>
      <c r="B135" s="2" t="s">
        <v>666</v>
      </c>
      <c r="C135" s="2" t="s">
        <v>762</v>
      </c>
      <c r="D135" s="2" t="s">
        <v>608</v>
      </c>
      <c r="E135" s="2" t="s">
        <v>43</v>
      </c>
      <c r="F135" s="2" t="s">
        <v>43</v>
      </c>
      <c r="G135" s="2" t="s">
        <v>763</v>
      </c>
      <c r="H135" s="2" t="s">
        <v>764</v>
      </c>
      <c r="I135" s="2" t="s">
        <v>26</v>
      </c>
      <c r="J135" s="2" t="s">
        <v>765</v>
      </c>
      <c r="K135" s="2" t="s">
        <v>766</v>
      </c>
      <c r="L135" s="2" t="s">
        <v>767</v>
      </c>
      <c r="M135" s="2" t="s">
        <v>71</v>
      </c>
      <c r="N135" s="2"/>
      <c r="O135" s="2"/>
      <c r="P135" s="2" t="s">
        <v>72</v>
      </c>
      <c r="Q135" s="2" t="s">
        <v>65</v>
      </c>
      <c r="R135" s="2"/>
    </row>
    <row r="136" customFormat="false" ht="72" hidden="false" customHeight="true" outlineLevel="0" collapsed="false">
      <c r="A136" s="2" t="s">
        <v>768</v>
      </c>
      <c r="B136" s="2" t="s">
        <v>666</v>
      </c>
      <c r="C136" s="2" t="s">
        <v>769</v>
      </c>
      <c r="D136" s="2" t="s">
        <v>608</v>
      </c>
      <c r="E136" s="2" t="s">
        <v>43</v>
      </c>
      <c r="F136" s="2" t="s">
        <v>43</v>
      </c>
      <c r="G136" s="2" t="s">
        <v>770</v>
      </c>
      <c r="H136" s="2" t="s">
        <v>771</v>
      </c>
      <c r="I136" s="2" t="s">
        <v>26</v>
      </c>
      <c r="J136" s="2" t="s">
        <v>611</v>
      </c>
      <c r="K136" s="2" t="s">
        <v>772</v>
      </c>
      <c r="L136" s="2" t="s">
        <v>773</v>
      </c>
      <c r="M136" s="2" t="s">
        <v>71</v>
      </c>
      <c r="N136" s="2"/>
      <c r="O136" s="2"/>
      <c r="P136" s="2" t="s">
        <v>72</v>
      </c>
      <c r="Q136" s="2" t="s">
        <v>43</v>
      </c>
      <c r="R136" s="2"/>
    </row>
    <row r="137" customFormat="false" ht="72" hidden="false" customHeight="true" outlineLevel="0" collapsed="false">
      <c r="A137" s="2" t="s">
        <v>774</v>
      </c>
      <c r="B137" s="2" t="s">
        <v>666</v>
      </c>
      <c r="C137" s="2" t="s">
        <v>775</v>
      </c>
      <c r="D137" s="2" t="s">
        <v>608</v>
      </c>
      <c r="E137" s="2" t="s">
        <v>65</v>
      </c>
      <c r="F137" s="2" t="s">
        <v>65</v>
      </c>
      <c r="G137" s="2" t="s">
        <v>776</v>
      </c>
      <c r="H137" s="2" t="s">
        <v>777</v>
      </c>
      <c r="I137" s="2" t="s">
        <v>26</v>
      </c>
      <c r="J137" s="2" t="s">
        <v>778</v>
      </c>
      <c r="K137" s="2" t="s">
        <v>779</v>
      </c>
      <c r="L137" s="2" t="s">
        <v>780</v>
      </c>
      <c r="M137" s="2" t="s">
        <v>71</v>
      </c>
      <c r="N137" s="2"/>
      <c r="O137" s="2"/>
      <c r="P137" s="2" t="s">
        <v>86</v>
      </c>
      <c r="Q137" s="2" t="s">
        <v>83</v>
      </c>
      <c r="R137" s="2"/>
    </row>
  </sheetData>
  <conditionalFormatting sqref="G2:G200">
    <cfRule type="expression" priority="2" aboveAverage="0" equalAverage="0" bottom="0" percent="0" rank="0" text="" dxfId="4">
      <formula>$G2="Passed"</formula>
    </cfRule>
    <cfRule type="expression" priority="3" aboveAverage="0" equalAverage="0" bottom="0" percent="0" rank="0" text="" dxfId="5">
      <formula>$G2="Failed"</formula>
    </cfRule>
    <cfRule type="expression" priority="4" aboveAverage="0" equalAverage="0" bottom="0" percent="0" rank="0" text="" dxfId="6">
      <formula>$G2="Untested"</formula>
    </cfRule>
  </conditionalFormatting>
  <dataValidations count="6">
    <dataValidation allowBlank="false" errorStyle="stop" operator="between" showDropDown="false" showErrorMessage="false" showInputMessage="false" sqref="G2:G200" type="list">
      <formula1>"Passed,Failed,Untested"</formula1>
      <formula2>0</formula2>
    </dataValidation>
    <dataValidation allowBlank="false" errorStyle="stop" operator="between" showDropDown="false" showErrorMessage="false" showInputMessage="false" sqref="M2:M137" type="list">
      <formula1>"Untested,Pass,Fail,Blocked,Skipped"</formula1>
      <formula2>0</formula2>
    </dataValidation>
    <dataValidation allowBlank="false" errorStyle="stop" operator="between" showDropDown="false" showErrorMessage="false" showInputMessage="false" sqref="D2:D137" type="list">
      <formula1>"Positive,Negative,Edge Case,UI Validation,E2E,Known Bug"</formula1>
      <formula2>0</formula2>
    </dataValidation>
    <dataValidation allowBlank="false" errorStyle="stop" operator="between" showDropDown="false" showErrorMessage="false" showInputMessage="false" sqref="E2:E137" type="list">
      <formula1>"Critical,High,Medium,Low"</formula1>
      <formula2>0</formula2>
    </dataValidation>
    <dataValidation allowBlank="false" errorStyle="stop" operator="between" showDropDown="false" showErrorMessage="false" showInputMessage="false" sqref="P2:P137" type="list">
      <formula1>"Yes,No,Later"</formula1>
      <formula2>0</formula2>
    </dataValidation>
    <dataValidation allowBlank="false" errorStyle="stop" operator="between" showDropDown="false" showErrorMessage="false" showInputMessage="false" sqref="Q2:Q137" type="list">
      <formula1>"High,Medium,Low,N/A"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5.56"/>
    <col collapsed="false" customWidth="true" hidden="false" outlineLevel="0" max="8" min="2" style="0" width="11.67"/>
  </cols>
  <sheetData>
    <row r="1" customFormat="false" ht="15" hidden="false" customHeight="true" outlineLevel="0" collapsed="false">
      <c r="A1" s="3" t="s">
        <v>781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782</v>
      </c>
      <c r="B2" s="4"/>
      <c r="C2" s="4"/>
      <c r="D2" s="4"/>
      <c r="E2" s="4"/>
      <c r="F2" s="4"/>
    </row>
    <row r="4" customFormat="false" ht="15" hidden="false" customHeight="true" outlineLevel="0" collapsed="false">
      <c r="A4" s="1" t="s">
        <v>1</v>
      </c>
      <c r="B4" s="1" t="s">
        <v>783</v>
      </c>
      <c r="C4" s="1" t="s">
        <v>21</v>
      </c>
      <c r="D4" s="1" t="s">
        <v>35</v>
      </c>
      <c r="E4" s="1" t="s">
        <v>64</v>
      </c>
      <c r="F4" s="1" t="s">
        <v>80</v>
      </c>
      <c r="G4" s="1" t="s">
        <v>608</v>
      </c>
      <c r="H4" s="1" t="s">
        <v>586</v>
      </c>
    </row>
    <row r="5" customFormat="false" ht="15" hidden="false" customHeight="true" outlineLevel="0" collapsed="false">
      <c r="A5" s="2" t="s">
        <v>19</v>
      </c>
      <c r="B5" s="2" t="n">
        <f aca="false">COUNTIF('Test Cases'!$B$2:$B$137,A5)</f>
        <v>16</v>
      </c>
      <c r="C5" s="2" t="n">
        <f aca="false">COUNTIFS('Test Cases'!$B$2:$B$137,$A5,'Test Cases'!$D$2:$D$137,C$4)</f>
        <v>6</v>
      </c>
      <c r="D5" s="2" t="n">
        <f aca="false">COUNTIFS('Test Cases'!$B$2:$B$137,$A5,'Test Cases'!$D$2:$D$137,D$4)</f>
        <v>5</v>
      </c>
      <c r="E5" s="2" t="n">
        <f aca="false">COUNTIFS('Test Cases'!$B$2:$B$137,$A5,'Test Cases'!$D$2:$D$137,E$4)</f>
        <v>3</v>
      </c>
      <c r="F5" s="2" t="n">
        <f aca="false">COUNTIFS('Test Cases'!$B$2:$B$137,$A5,'Test Cases'!$D$2:$D$137,F$4)</f>
        <v>2</v>
      </c>
      <c r="G5" s="2" t="n">
        <f aca="false">COUNTIFS('Test Cases'!$B$2:$B$137,$A5,'Test Cases'!$D$2:$D$137,G$4)</f>
        <v>0</v>
      </c>
      <c r="H5" s="2" t="n">
        <f aca="false">COUNTIFS('Test Cases'!$B$2:$B$137,$A5,'Test Cases'!$D$2:$D$137,H$4)</f>
        <v>0</v>
      </c>
    </row>
    <row r="6" customFormat="false" ht="15" hidden="false" customHeight="true" outlineLevel="0" collapsed="false">
      <c r="A6" s="2" t="s">
        <v>125</v>
      </c>
      <c r="B6" s="2" t="n">
        <f aca="false">COUNTIF('Test Cases'!$B$2:$B$137,A6)</f>
        <v>18</v>
      </c>
      <c r="C6" s="2" t="n">
        <f aca="false">COUNTIFS('Test Cases'!$B$2:$B$137,$A6,'Test Cases'!$D$2:$D$137,C$4)</f>
        <v>14</v>
      </c>
      <c r="D6" s="2" t="n">
        <f aca="false">COUNTIFS('Test Cases'!$B$2:$B$137,$A6,'Test Cases'!$D$2:$D$137,D$4)</f>
        <v>1</v>
      </c>
      <c r="E6" s="2" t="n">
        <f aca="false">COUNTIFS('Test Cases'!$B$2:$B$137,$A6,'Test Cases'!$D$2:$D$137,E$4)</f>
        <v>2</v>
      </c>
      <c r="F6" s="2" t="n">
        <f aca="false">COUNTIFS('Test Cases'!$B$2:$B$137,$A6,'Test Cases'!$D$2:$D$137,F$4)</f>
        <v>1</v>
      </c>
      <c r="G6" s="2" t="n">
        <f aca="false">COUNTIFS('Test Cases'!$B$2:$B$137,$A6,'Test Cases'!$D$2:$D$137,G$4)</f>
        <v>0</v>
      </c>
      <c r="H6" s="2" t="n">
        <f aca="false">COUNTIFS('Test Cases'!$B$2:$B$137,$A6,'Test Cases'!$D$2:$D$137,H$4)</f>
        <v>0</v>
      </c>
    </row>
    <row r="7" customFormat="false" ht="15" hidden="false" customHeight="true" outlineLevel="0" collapsed="false">
      <c r="A7" s="2" t="s">
        <v>234</v>
      </c>
      <c r="B7" s="2" t="n">
        <f aca="false">COUNTIF('Test Cases'!$B$2:$B$137,A7)</f>
        <v>10</v>
      </c>
      <c r="C7" s="2" t="n">
        <f aca="false">COUNTIFS('Test Cases'!$B$2:$B$137,$A7,'Test Cases'!$D$2:$D$137,C$4)</f>
        <v>6</v>
      </c>
      <c r="D7" s="2" t="n">
        <f aca="false">COUNTIFS('Test Cases'!$B$2:$B$137,$A7,'Test Cases'!$D$2:$D$137,D$4)</f>
        <v>1</v>
      </c>
      <c r="E7" s="2" t="n">
        <f aca="false">COUNTIFS('Test Cases'!$B$2:$B$137,$A7,'Test Cases'!$D$2:$D$137,E$4)</f>
        <v>3</v>
      </c>
      <c r="F7" s="2" t="n">
        <f aca="false">COUNTIFS('Test Cases'!$B$2:$B$137,$A7,'Test Cases'!$D$2:$D$137,F$4)</f>
        <v>0</v>
      </c>
      <c r="G7" s="2" t="n">
        <f aca="false">COUNTIFS('Test Cases'!$B$2:$B$137,$A7,'Test Cases'!$D$2:$D$137,G$4)</f>
        <v>0</v>
      </c>
      <c r="H7" s="2" t="n">
        <f aca="false">COUNTIFS('Test Cases'!$B$2:$B$137,$A7,'Test Cases'!$D$2:$D$137,H$4)</f>
        <v>0</v>
      </c>
    </row>
    <row r="8" customFormat="false" ht="15" hidden="false" customHeight="true" outlineLevel="0" collapsed="false">
      <c r="A8" s="2" t="s">
        <v>246</v>
      </c>
      <c r="B8" s="2" t="n">
        <f aca="false">COUNTIF('Test Cases'!$B$2:$B$137,A8)</f>
        <v>16</v>
      </c>
      <c r="C8" s="2" t="n">
        <f aca="false">COUNTIFS('Test Cases'!$B$2:$B$137,$A8,'Test Cases'!$D$2:$D$137,C$4)</f>
        <v>9</v>
      </c>
      <c r="D8" s="2" t="n">
        <f aca="false">COUNTIFS('Test Cases'!$B$2:$B$137,$A8,'Test Cases'!$D$2:$D$137,D$4)</f>
        <v>1</v>
      </c>
      <c r="E8" s="2" t="n">
        <f aca="false">COUNTIFS('Test Cases'!$B$2:$B$137,$A8,'Test Cases'!$D$2:$D$137,E$4)</f>
        <v>6</v>
      </c>
      <c r="F8" s="2" t="n">
        <f aca="false">COUNTIFS('Test Cases'!$B$2:$B$137,$A8,'Test Cases'!$D$2:$D$137,F$4)</f>
        <v>0</v>
      </c>
      <c r="G8" s="2" t="n">
        <f aca="false">COUNTIFS('Test Cases'!$B$2:$B$137,$A8,'Test Cases'!$D$2:$D$137,G$4)</f>
        <v>0</v>
      </c>
      <c r="H8" s="2" t="n">
        <f aca="false">COUNTIFS('Test Cases'!$B$2:$B$137,$A8,'Test Cases'!$D$2:$D$137,H$4)</f>
        <v>0</v>
      </c>
    </row>
    <row r="9" customFormat="false" ht="15" hidden="false" customHeight="true" outlineLevel="0" collapsed="false">
      <c r="A9" s="2" t="s">
        <v>369</v>
      </c>
      <c r="B9" s="2" t="n">
        <f aca="false">COUNTIF('Test Cases'!$B$2:$B$137,A9)</f>
        <v>14</v>
      </c>
      <c r="C9" s="2" t="n">
        <f aca="false">COUNTIFS('Test Cases'!$B$2:$B$137,$A9,'Test Cases'!$D$2:$D$137,C$4)</f>
        <v>3</v>
      </c>
      <c r="D9" s="2" t="n">
        <f aca="false">COUNTIFS('Test Cases'!$B$2:$B$137,$A9,'Test Cases'!$D$2:$D$137,D$4)</f>
        <v>5</v>
      </c>
      <c r="E9" s="2" t="n">
        <f aca="false">COUNTIFS('Test Cases'!$B$2:$B$137,$A9,'Test Cases'!$D$2:$D$137,E$4)</f>
        <v>5</v>
      </c>
      <c r="F9" s="2" t="n">
        <f aca="false">COUNTIFS('Test Cases'!$B$2:$B$137,$A9,'Test Cases'!$D$2:$D$137,F$4)</f>
        <v>1</v>
      </c>
      <c r="G9" s="2" t="n">
        <f aca="false">COUNTIFS('Test Cases'!$B$2:$B$137,$A9,'Test Cases'!$D$2:$D$137,G$4)</f>
        <v>0</v>
      </c>
      <c r="H9" s="2" t="n">
        <f aca="false">COUNTIFS('Test Cases'!$B$2:$B$137,$A9,'Test Cases'!$D$2:$D$137,H$4)</f>
        <v>0</v>
      </c>
    </row>
    <row r="10" customFormat="false" ht="15" hidden="false" customHeight="true" outlineLevel="0" collapsed="false">
      <c r="A10" s="2" t="s">
        <v>438</v>
      </c>
      <c r="B10" s="2" t="n">
        <f aca="false">COUNTIF('Test Cases'!$B$2:$B$137,A10)</f>
        <v>12</v>
      </c>
      <c r="C10" s="2" t="n">
        <f aca="false">COUNTIFS('Test Cases'!$B$2:$B$137,$A10,'Test Cases'!$D$2:$D$137,C$4)</f>
        <v>8</v>
      </c>
      <c r="D10" s="2" t="n">
        <f aca="false">COUNTIFS('Test Cases'!$B$2:$B$137,$A10,'Test Cases'!$D$2:$D$137,D$4)</f>
        <v>1</v>
      </c>
      <c r="E10" s="2" t="n">
        <f aca="false">COUNTIFS('Test Cases'!$B$2:$B$137,$A10,'Test Cases'!$D$2:$D$137,E$4)</f>
        <v>1</v>
      </c>
      <c r="F10" s="2" t="n">
        <f aca="false">COUNTIFS('Test Cases'!$B$2:$B$137,$A10,'Test Cases'!$D$2:$D$137,F$4)</f>
        <v>2</v>
      </c>
      <c r="G10" s="2" t="n">
        <f aca="false">COUNTIFS('Test Cases'!$B$2:$B$137,$A10,'Test Cases'!$D$2:$D$137,G$4)</f>
        <v>0</v>
      </c>
      <c r="H10" s="2" t="n">
        <f aca="false">COUNTIFS('Test Cases'!$B$2:$B$137,$A10,'Test Cases'!$D$2:$D$137,H$4)</f>
        <v>0</v>
      </c>
    </row>
    <row r="11" customFormat="false" ht="15" hidden="false" customHeight="true" outlineLevel="0" collapsed="false">
      <c r="A11" s="2" t="s">
        <v>499</v>
      </c>
      <c r="B11" s="2" t="n">
        <f aca="false">COUNTIF('Test Cases'!$B$2:$B$137,A11)</f>
        <v>7</v>
      </c>
      <c r="C11" s="2" t="n">
        <f aca="false">COUNTIFS('Test Cases'!$B$2:$B$137,$A11,'Test Cases'!$D$2:$D$137,C$4)</f>
        <v>3</v>
      </c>
      <c r="D11" s="2" t="n">
        <f aca="false">COUNTIFS('Test Cases'!$B$2:$B$137,$A11,'Test Cases'!$D$2:$D$137,D$4)</f>
        <v>1</v>
      </c>
      <c r="E11" s="2" t="n">
        <f aca="false">COUNTIFS('Test Cases'!$B$2:$B$137,$A11,'Test Cases'!$D$2:$D$137,E$4)</f>
        <v>2</v>
      </c>
      <c r="F11" s="2" t="n">
        <f aca="false">COUNTIFS('Test Cases'!$B$2:$B$137,$A11,'Test Cases'!$D$2:$D$137,F$4)</f>
        <v>1</v>
      </c>
      <c r="G11" s="2" t="n">
        <f aca="false">COUNTIFS('Test Cases'!$B$2:$B$137,$A11,'Test Cases'!$D$2:$D$137,G$4)</f>
        <v>0</v>
      </c>
      <c r="H11" s="2" t="n">
        <f aca="false">COUNTIFS('Test Cases'!$B$2:$B$137,$A11,'Test Cases'!$D$2:$D$137,H$4)</f>
        <v>0</v>
      </c>
    </row>
    <row r="12" customFormat="false" ht="15" hidden="false" customHeight="true" outlineLevel="0" collapsed="false">
      <c r="A12" s="2" t="s">
        <v>532</v>
      </c>
      <c r="B12" s="2" t="n">
        <f aca="false">COUNTIF('Test Cases'!$B$2:$B$137,A12)</f>
        <v>9</v>
      </c>
      <c r="C12" s="2" t="n">
        <f aca="false">COUNTIFS('Test Cases'!$B$2:$B$137,$A12,'Test Cases'!$D$2:$D$137,C$4)</f>
        <v>6</v>
      </c>
      <c r="D12" s="2" t="n">
        <f aca="false">COUNTIFS('Test Cases'!$B$2:$B$137,$A12,'Test Cases'!$D$2:$D$137,D$4)</f>
        <v>1</v>
      </c>
      <c r="E12" s="2" t="n">
        <f aca="false">COUNTIFS('Test Cases'!$B$2:$B$137,$A12,'Test Cases'!$D$2:$D$137,E$4)</f>
        <v>1</v>
      </c>
      <c r="F12" s="2" t="n">
        <f aca="false">COUNTIFS('Test Cases'!$B$2:$B$137,$A12,'Test Cases'!$D$2:$D$137,F$4)</f>
        <v>1</v>
      </c>
      <c r="G12" s="2" t="n">
        <f aca="false">COUNTIFS('Test Cases'!$B$2:$B$137,$A12,'Test Cases'!$D$2:$D$137,G$4)</f>
        <v>0</v>
      </c>
      <c r="H12" s="2" t="n">
        <f aca="false">COUNTIFS('Test Cases'!$B$2:$B$137,$A12,'Test Cases'!$D$2:$D$137,H$4)</f>
        <v>0</v>
      </c>
    </row>
    <row r="13" customFormat="false" ht="15" hidden="false" customHeight="true" outlineLevel="0" collapsed="false">
      <c r="A13" s="2" t="s">
        <v>584</v>
      </c>
      <c r="B13" s="2" t="n">
        <f aca="false">COUNTIF('Test Cases'!$B$2:$B$137,A13)</f>
        <v>14</v>
      </c>
      <c r="C13" s="2" t="n">
        <f aca="false">COUNTIFS('Test Cases'!$B$2:$B$137,$A13,'Test Cases'!$D$2:$D$137,C$4)</f>
        <v>1</v>
      </c>
      <c r="D13" s="2" t="n">
        <f aca="false">COUNTIFS('Test Cases'!$B$2:$B$137,$A13,'Test Cases'!$D$2:$D$137,D$4)</f>
        <v>1</v>
      </c>
      <c r="E13" s="2" t="n">
        <f aca="false">COUNTIFS('Test Cases'!$B$2:$B$137,$A13,'Test Cases'!$D$2:$D$137,E$4)</f>
        <v>2</v>
      </c>
      <c r="F13" s="2" t="n">
        <f aca="false">COUNTIFS('Test Cases'!$B$2:$B$137,$A13,'Test Cases'!$D$2:$D$137,F$4)</f>
        <v>1</v>
      </c>
      <c r="G13" s="2" t="n">
        <f aca="false">COUNTIFS('Test Cases'!$B$2:$B$137,$A13,'Test Cases'!$D$2:$D$137,G$4)</f>
        <v>1</v>
      </c>
      <c r="H13" s="2" t="n">
        <f aca="false">COUNTIFS('Test Cases'!$B$2:$B$137,$A13,'Test Cases'!$D$2:$D$137,H$4)</f>
        <v>8</v>
      </c>
    </row>
    <row r="14" customFormat="false" ht="15" hidden="false" customHeight="true" outlineLevel="0" collapsed="false">
      <c r="A14" s="2" t="s">
        <v>666</v>
      </c>
      <c r="B14" s="2" t="n">
        <f aca="false">COUNTIF('Test Cases'!$B$2:$B$137,A14)</f>
        <v>20</v>
      </c>
      <c r="C14" s="2" t="n">
        <f aca="false">COUNTIFS('Test Cases'!$B$2:$B$137,$A14,'Test Cases'!$D$2:$D$137,C$4)</f>
        <v>0</v>
      </c>
      <c r="D14" s="2" t="n">
        <f aca="false">COUNTIFS('Test Cases'!$B$2:$B$137,$A14,'Test Cases'!$D$2:$D$137,D$4)</f>
        <v>0</v>
      </c>
      <c r="E14" s="2" t="n">
        <f aca="false">COUNTIFS('Test Cases'!$B$2:$B$137,$A14,'Test Cases'!$D$2:$D$137,E$4)</f>
        <v>0</v>
      </c>
      <c r="F14" s="2" t="n">
        <f aca="false">COUNTIFS('Test Cases'!$B$2:$B$137,$A14,'Test Cases'!$D$2:$D$137,F$4)</f>
        <v>0</v>
      </c>
      <c r="G14" s="2" t="n">
        <f aca="false">COUNTIFS('Test Cases'!$B$2:$B$137,$A14,'Test Cases'!$D$2:$D$137,G$4)</f>
        <v>20</v>
      </c>
      <c r="H14" s="2" t="n">
        <f aca="false">COUNTIFS('Test Cases'!$B$2:$B$137,$A14,'Test Cases'!$D$2:$D$137,H$4)</f>
        <v>0</v>
      </c>
    </row>
    <row r="15" customFormat="false" ht="15" hidden="false" customHeight="true" outlineLevel="0" collapsed="false">
      <c r="A15" s="5" t="s">
        <v>784</v>
      </c>
      <c r="B15" s="5" t="n">
        <f aca="false">SUM(B5:B14)</f>
        <v>136</v>
      </c>
      <c r="C15" s="5" t="n">
        <f aca="false">SUM(C5:C14)</f>
        <v>56</v>
      </c>
      <c r="D15" s="5" t="n">
        <f aca="false">SUM(D5:D14)</f>
        <v>17</v>
      </c>
      <c r="E15" s="5" t="n">
        <f aca="false">SUM(E5:E14)</f>
        <v>25</v>
      </c>
      <c r="F15" s="5" t="n">
        <f aca="false">SUM(F5:F14)</f>
        <v>9</v>
      </c>
      <c r="G15" s="5" t="n">
        <f aca="false">SUM(G5:G14)</f>
        <v>21</v>
      </c>
      <c r="H15" s="5" t="n">
        <f aca="false">SUM(H5:H14)</f>
        <v>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.34"/>
    <col collapsed="false" customWidth="true" hidden="false" outlineLevel="0" max="8" min="4" style="0" width="18.89"/>
  </cols>
  <sheetData>
    <row r="1" customFormat="false" ht="15" hidden="false" customHeight="true" outlineLevel="0" collapsed="false">
      <c r="A1" s="3" t="s">
        <v>785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786</v>
      </c>
      <c r="B2" s="4"/>
      <c r="C2" s="4"/>
      <c r="D2" s="4"/>
      <c r="E2" s="4"/>
      <c r="F2" s="4"/>
    </row>
    <row r="4" customFormat="false" ht="15" hidden="false" customHeight="true" outlineLevel="0" collapsed="false">
      <c r="A4" s="1" t="s">
        <v>787</v>
      </c>
      <c r="B4" s="1" t="s">
        <v>788</v>
      </c>
      <c r="D4" s="1" t="s">
        <v>789</v>
      </c>
      <c r="E4" s="1" t="s">
        <v>790</v>
      </c>
      <c r="F4" s="1" t="s">
        <v>791</v>
      </c>
      <c r="G4" s="1" t="s">
        <v>792</v>
      </c>
      <c r="H4" s="1" t="s">
        <v>793</v>
      </c>
    </row>
    <row r="5" customFormat="false" ht="15" hidden="false" customHeight="true" outlineLevel="0" collapsed="false">
      <c r="A5" s="2" t="s">
        <v>794</v>
      </c>
      <c r="B5" s="2" t="n">
        <f aca="false">COUNTA('Test Cases'!$A$2:$A$137)</f>
        <v>136</v>
      </c>
      <c r="D5" s="2" t="s">
        <v>71</v>
      </c>
      <c r="E5" s="2" t="n">
        <f aca="false">COUNTIF('Test Cases'!$M$2:$M$137,D5)</f>
        <v>52</v>
      </c>
      <c r="F5" s="6" t="n">
        <f aca="false">IF($B$5=0,0,E5/$B$5)</f>
        <v>0.382352941176471</v>
      </c>
      <c r="G5" s="2" t="s">
        <v>795</v>
      </c>
      <c r="H5" s="2" t="s">
        <v>796</v>
      </c>
    </row>
    <row r="6" customFormat="false" ht="15" hidden="false" customHeight="true" outlineLevel="0" collapsed="false">
      <c r="A6" s="2" t="s">
        <v>71</v>
      </c>
      <c r="B6" s="2" t="n">
        <f aca="false">COUNTIF('Test Cases'!$M$2:$M$137,"Untested")</f>
        <v>52</v>
      </c>
      <c r="D6" s="2" t="s">
        <v>30</v>
      </c>
      <c r="E6" s="2" t="n">
        <f aca="false">COUNTIF('Test Cases'!$M$2:$M$137,D6)</f>
        <v>84</v>
      </c>
      <c r="F6" s="6" t="n">
        <f aca="false">IF($B$5=0,0,E6/$B$5)</f>
        <v>0.617647058823529</v>
      </c>
      <c r="G6" s="2" t="s">
        <v>797</v>
      </c>
      <c r="H6" s="2" t="s">
        <v>798</v>
      </c>
    </row>
    <row r="7" customFormat="false" ht="15" hidden="false" customHeight="true" outlineLevel="0" collapsed="false">
      <c r="A7" s="2" t="s">
        <v>799</v>
      </c>
      <c r="B7" s="2" t="n">
        <f aca="false">COUNTIF('Test Cases'!$M$2:$M$137,"Pass")</f>
        <v>84</v>
      </c>
      <c r="D7" s="2" t="s">
        <v>800</v>
      </c>
      <c r="E7" s="2" t="n">
        <f aca="false">COUNTIF('Test Cases'!$M$2:$M$137,D7)</f>
        <v>0</v>
      </c>
      <c r="F7" s="6" t="n">
        <f aca="false">IF($B$5=0,0,E7/$B$5)</f>
        <v>0</v>
      </c>
      <c r="G7" s="2" t="s">
        <v>801</v>
      </c>
      <c r="H7" s="2" t="s">
        <v>802</v>
      </c>
    </row>
    <row r="8" customFormat="false" ht="15" hidden="false" customHeight="true" outlineLevel="0" collapsed="false">
      <c r="A8" s="2" t="s">
        <v>803</v>
      </c>
      <c r="B8" s="2" t="n">
        <f aca="false">COUNTIF('Test Cases'!$M$2:$M$137,"Fail")</f>
        <v>0</v>
      </c>
      <c r="D8" s="2" t="s">
        <v>804</v>
      </c>
      <c r="E8" s="2" t="n">
        <f aca="false">COUNTIF('Test Cases'!$M$2:$M$137,D8)</f>
        <v>0</v>
      </c>
      <c r="F8" s="6" t="n">
        <f aca="false">IF($B$5=0,0,E8/$B$5)</f>
        <v>0</v>
      </c>
      <c r="G8" s="2" t="s">
        <v>805</v>
      </c>
      <c r="H8" s="2" t="s">
        <v>806</v>
      </c>
    </row>
    <row r="9" customFormat="false" ht="15" hidden="false" customHeight="true" outlineLevel="0" collapsed="false">
      <c r="A9" s="2" t="s">
        <v>804</v>
      </c>
      <c r="B9" s="2" t="n">
        <f aca="false">COUNTIF('Test Cases'!$M$2:$M$137,"Blocked")</f>
        <v>0</v>
      </c>
      <c r="D9" s="2" t="s">
        <v>807</v>
      </c>
      <c r="E9" s="2" t="n">
        <f aca="false">COUNTIF('Test Cases'!$M$2:$M$137,D9)</f>
        <v>0</v>
      </c>
      <c r="F9" s="6" t="n">
        <f aca="false">IF($B$5=0,0,E9/$B$5)</f>
        <v>0</v>
      </c>
      <c r="G9" s="2" t="s">
        <v>808</v>
      </c>
      <c r="H9" s="2" t="s">
        <v>809</v>
      </c>
    </row>
    <row r="10" customFormat="false" ht="15" hidden="false" customHeight="true" outlineLevel="0" collapsed="false">
      <c r="A10" s="2" t="s">
        <v>807</v>
      </c>
      <c r="B10" s="2" t="n">
        <f aca="false">COUNTIF('Test Cases'!$M$2:$M$137,"Skipped")</f>
        <v>0</v>
      </c>
    </row>
    <row r="11" customFormat="false" ht="15" hidden="false" customHeight="true" outlineLevel="0" collapsed="false">
      <c r="A11" s="2" t="s">
        <v>810</v>
      </c>
      <c r="B11" s="2" t="n">
        <f aca="false">SUM(B7:B10)</f>
        <v>84</v>
      </c>
    </row>
    <row r="12" customFormat="false" ht="15" hidden="false" customHeight="true" outlineLevel="0" collapsed="false">
      <c r="A12" s="2" t="s">
        <v>811</v>
      </c>
      <c r="B12" s="6" t="n">
        <f aca="false">IF(B5=0,0,B11/B5)</f>
        <v>0.617647058823529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2026-08-09T01:31:47Z</dcterms:modified>
  <cp:revision>1</cp:revision>
  <dc:subject/>
  <dc:title/>
</cp:coreProperties>
</file>